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2B8099F23483517/Desktop/Shinji/SIHC/スコアシート/"/>
    </mc:Choice>
  </mc:AlternateContent>
  <xr:revisionPtr revIDLastSave="0" documentId="14_{3544B72A-C610-4A69-B12B-2D21B983195B}" xr6:coauthVersionLast="47" xr6:coauthVersionMax="47" xr10:uidLastSave="{00000000-0000-0000-0000-000000000000}"/>
  <bookViews>
    <workbookView xWindow="192" yWindow="84" windowWidth="21792" windowHeight="11784" firstSheet="4" activeTab="4" xr2:uid="{00000000-000D-0000-FFFF-FFFF00000000}"/>
  </bookViews>
  <sheets>
    <sheet name="公式記録用ﾁｪｯｸｼｰﾄ" sheetId="47" r:id="rId1"/>
    <sheet name="公式記録用ﾁｪｯｸｼｰﾄ (記入例)" sheetId="46" r:id="rId2"/>
    <sheet name="ＧＪ用ショット集計表" sheetId="45" r:id="rId3"/>
    <sheet name="ＧＪ用ショット集計表 (記入例)" sheetId="44" r:id="rId4"/>
    <sheet name="GameSheet" sheetId="21" r:id="rId5"/>
    <sheet name="GameSheet2枚目" sheetId="22" r:id="rId6"/>
    <sheet name="TeamA" sheetId="11" r:id="rId7"/>
    <sheet name="TeamB" sheetId="23" r:id="rId8"/>
    <sheet name="List" sheetId="24" r:id="rId9"/>
    <sheet name="参考（略語解説)" sheetId="48" r:id="rId10"/>
    <sheet name="追加・削除用" sheetId="33" r:id="rId11"/>
  </sheets>
  <definedNames>
    <definedName name="_xlnm._FilterDatabase" localSheetId="8" hidden="1">List!$H$1:$U$1325</definedName>
    <definedName name="CA">List!$E$2:$E$7</definedName>
    <definedName name="Event">List!$C$22:$C$24</definedName>
    <definedName name="GAME_No">TeamB!$T$1:$T$20</definedName>
    <definedName name="gka">List!$E$26:$E$28</definedName>
    <definedName name="gkb">List!$E$31:$E$33</definedName>
    <definedName name="GS">List!$H$3:$H$9</definedName>
    <definedName name="MIN">List!$I$2:$I$9</definedName>
    <definedName name="PENALTY">List!$J$2:$J$68</definedName>
    <definedName name="PLACE">List!$C$2:$C$5</definedName>
    <definedName name="POS">List!$F$3:$F$7</definedName>
    <definedName name="_xlnm.Print_Area" localSheetId="4">GameSheet!$A$1:$BB$69</definedName>
    <definedName name="_xlnm.Print_Area" localSheetId="2">ＧＪ用ショット集計表!$A$1:$AJ$47</definedName>
    <definedName name="_xlnm.Print_Area" localSheetId="3">'ＧＪ用ショット集計表 (記入例)'!$A$1:$AJ$47</definedName>
    <definedName name="_xlnm.Print_Area" localSheetId="6">TeamA!$A$1:$AG$91</definedName>
    <definedName name="_xlnm.Print_Area" localSheetId="1">'公式記録用ﾁｪｯｸｼｰﾄ (記入例)'!$A$1:$U$60</definedName>
    <definedName name="Ptime">List!$C$10:$C$11</definedName>
    <definedName name="REF">List!$T$2:$T$101</definedName>
    <definedName name="regA">TeamA!$H$4:$H$80</definedName>
    <definedName name="regB">TeamB!$H$4:$H$80</definedName>
    <definedName name="Start">List!$C$13:$C$30</definedName>
    <definedName name="SV">List!$U$2:$U$92</definedName>
    <definedName name="TEAMS">List!$L$42:$L$45</definedName>
    <definedName name="Time">List!$C$15:$C$22</definedName>
    <definedName name="timer">List!$C$40:$C$53</definedName>
    <definedName name="Z_DE3A6D69_BF4E_4998_8D84_3B4CD289F79A_.wvu.PrintArea" localSheetId="2" hidden="1">ＧＪ用ショット集計表!$A$1:$AJ$47</definedName>
    <definedName name="Z_DE3A6D69_BF4E_4998_8D84_3B4CD289F79A_.wvu.PrintArea" localSheetId="3" hidden="1">'ＧＪ用ショット集計表 (記入例)'!$A$1:$AJ$47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3" i="23" l="1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S27" i="23"/>
  <c r="S7" i="23"/>
  <c r="S6" i="23"/>
  <c r="S5" i="23"/>
  <c r="R43" i="23"/>
  <c r="R42" i="23"/>
  <c r="R41" i="23"/>
  <c r="R40" i="23"/>
  <c r="R39" i="23"/>
  <c r="R38" i="23"/>
  <c r="R37" i="23"/>
  <c r="R36" i="23"/>
  <c r="R35" i="23"/>
  <c r="R34" i="23"/>
  <c r="R33" i="23"/>
  <c r="R32" i="23"/>
  <c r="R31" i="23"/>
  <c r="R30" i="23"/>
  <c r="R29" i="23"/>
  <c r="R28" i="23"/>
  <c r="R27" i="23"/>
  <c r="R7" i="23"/>
  <c r="R6" i="23"/>
  <c r="R5" i="23"/>
  <c r="S43" i="11"/>
  <c r="S42" i="11"/>
  <c r="S41" i="11"/>
  <c r="S40" i="11"/>
  <c r="S39" i="11"/>
  <c r="S38" i="11"/>
  <c r="S37" i="11"/>
  <c r="S36" i="11"/>
  <c r="S35" i="11"/>
  <c r="S34" i="11"/>
  <c r="S33" i="11"/>
  <c r="S32" i="11"/>
  <c r="S31" i="11"/>
  <c r="S30" i="11"/>
  <c r="S29" i="11"/>
  <c r="S6" i="11"/>
  <c r="S5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6" i="11"/>
  <c r="R5" i="11"/>
  <c r="D8" i="11"/>
  <c r="B11" i="22" s="1"/>
  <c r="D9" i="11"/>
  <c r="B12" i="21" s="1"/>
  <c r="D10" i="11"/>
  <c r="B13" i="21" s="1"/>
  <c r="D11" i="11"/>
  <c r="B14" i="21" s="1"/>
  <c r="D12" i="11"/>
  <c r="B15" i="21" s="1"/>
  <c r="D13" i="11"/>
  <c r="D14" i="11"/>
  <c r="B17" i="21" s="1"/>
  <c r="D15" i="11"/>
  <c r="B18" i="22" s="1"/>
  <c r="D16" i="11"/>
  <c r="B19" i="21" s="1"/>
  <c r="C12" i="11"/>
  <c r="A15" i="22" s="1"/>
  <c r="C13" i="11"/>
  <c r="A16" i="22" s="1"/>
  <c r="C14" i="11"/>
  <c r="A17" i="21" s="1"/>
  <c r="C15" i="11"/>
  <c r="A18" i="22" s="1"/>
  <c r="C16" i="11"/>
  <c r="A19" i="22" s="1"/>
  <c r="C4" i="11"/>
  <c r="A7" i="21" s="1"/>
  <c r="E26" i="24" s="1"/>
  <c r="C5" i="11"/>
  <c r="A8" i="22" s="1"/>
  <c r="C6" i="11"/>
  <c r="A9" i="21" s="1"/>
  <c r="C7" i="11"/>
  <c r="A10" i="22" s="1"/>
  <c r="C8" i="11"/>
  <c r="A11" i="21" s="1"/>
  <c r="C9" i="11"/>
  <c r="A12" i="21" s="1"/>
  <c r="C10" i="11"/>
  <c r="A13" i="21" s="1"/>
  <c r="C11" i="11"/>
  <c r="A14" i="22" s="1"/>
  <c r="E27" i="23"/>
  <c r="E26" i="23"/>
  <c r="AY53" i="21"/>
  <c r="AY52" i="21"/>
  <c r="AY51" i="21"/>
  <c r="AY50" i="21"/>
  <c r="AY49" i="21"/>
  <c r="AY48" i="21"/>
  <c r="AY47" i="21"/>
  <c r="AY46" i="21"/>
  <c r="AY45" i="21"/>
  <c r="AY44" i="21"/>
  <c r="AY43" i="21"/>
  <c r="AY42" i="21"/>
  <c r="AY41" i="21"/>
  <c r="AY40" i="21"/>
  <c r="AY39" i="21"/>
  <c r="AY38" i="21"/>
  <c r="AY37" i="21"/>
  <c r="AY36" i="21"/>
  <c r="AY35" i="21"/>
  <c r="AY34" i="21"/>
  <c r="AY33" i="21"/>
  <c r="AY32" i="21"/>
  <c r="AY28" i="21"/>
  <c r="AY27" i="21"/>
  <c r="AY26" i="21"/>
  <c r="AY25" i="21"/>
  <c r="AY24" i="21"/>
  <c r="AY23" i="21"/>
  <c r="AY22" i="21"/>
  <c r="AY21" i="21"/>
  <c r="AY20" i="21"/>
  <c r="AY19" i="21"/>
  <c r="AY18" i="21"/>
  <c r="AY17" i="21"/>
  <c r="AY16" i="21"/>
  <c r="AY15" i="21"/>
  <c r="AY14" i="21"/>
  <c r="AY13" i="21"/>
  <c r="AY12" i="21"/>
  <c r="AY11" i="21"/>
  <c r="AY10" i="21"/>
  <c r="AY9" i="21"/>
  <c r="AY8" i="21"/>
  <c r="AY7" i="21"/>
  <c r="Y63" i="22"/>
  <c r="Y64" i="22"/>
  <c r="Y65" i="22"/>
  <c r="Y66" i="22"/>
  <c r="Y67" i="22"/>
  <c r="G65" i="22"/>
  <c r="G66" i="22"/>
  <c r="G67" i="22"/>
  <c r="AJ61" i="22"/>
  <c r="E7" i="11"/>
  <c r="O10" i="21" s="1"/>
  <c r="E8" i="11"/>
  <c r="O11" i="21" s="1"/>
  <c r="E9" i="11"/>
  <c r="O12" i="22" s="1"/>
  <c r="E10" i="11"/>
  <c r="O13" i="21" s="1"/>
  <c r="E11" i="11"/>
  <c r="O14" i="21" s="1"/>
  <c r="E12" i="11"/>
  <c r="O15" i="22" s="1"/>
  <c r="E13" i="11"/>
  <c r="O16" i="21" s="1"/>
  <c r="E14" i="11"/>
  <c r="O17" i="22" s="1"/>
  <c r="E15" i="11"/>
  <c r="O18" i="21" s="1"/>
  <c r="E16" i="11"/>
  <c r="O19" i="22" s="1"/>
  <c r="E17" i="11"/>
  <c r="O20" i="21" s="1"/>
  <c r="E18" i="11"/>
  <c r="O21" i="21" s="1"/>
  <c r="E19" i="11"/>
  <c r="O22" i="21" s="1"/>
  <c r="E20" i="11"/>
  <c r="O23" i="21" s="1"/>
  <c r="E21" i="11"/>
  <c r="O24" i="22" s="1"/>
  <c r="E22" i="11"/>
  <c r="O25" i="22" s="1"/>
  <c r="E23" i="11"/>
  <c r="O26" i="21" s="1"/>
  <c r="E4" i="11"/>
  <c r="O7" i="22" s="1"/>
  <c r="E5" i="11"/>
  <c r="O8" i="21" s="1"/>
  <c r="E6" i="11"/>
  <c r="O9" i="22" s="1"/>
  <c r="O35" i="21"/>
  <c r="O36" i="21"/>
  <c r="E9" i="23"/>
  <c r="O37" i="21" s="1"/>
  <c r="E10" i="23"/>
  <c r="O38" i="22" s="1"/>
  <c r="E11" i="23"/>
  <c r="O39" i="21" s="1"/>
  <c r="E12" i="23"/>
  <c r="O40" i="22" s="1"/>
  <c r="E13" i="23"/>
  <c r="O41" i="21" s="1"/>
  <c r="E14" i="23"/>
  <c r="O42" i="22" s="1"/>
  <c r="E15" i="23"/>
  <c r="O43" i="21" s="1"/>
  <c r="E16" i="23"/>
  <c r="O44" i="21" s="1"/>
  <c r="E17" i="23"/>
  <c r="O45" i="22" s="1"/>
  <c r="E18" i="23"/>
  <c r="O46" i="22" s="1"/>
  <c r="O47" i="22"/>
  <c r="E20" i="23"/>
  <c r="O48" i="22" s="1"/>
  <c r="E21" i="23"/>
  <c r="O49" i="22" s="1"/>
  <c r="E22" i="23"/>
  <c r="O50" i="22" s="1"/>
  <c r="E23" i="23"/>
  <c r="O51" i="21" s="1"/>
  <c r="E4" i="23"/>
  <c r="O32" i="22" s="1"/>
  <c r="E5" i="23"/>
  <c r="O33" i="21" s="1"/>
  <c r="O34" i="21"/>
  <c r="AB61" i="22"/>
  <c r="Z61" i="22"/>
  <c r="X61" i="22"/>
  <c r="V61" i="22"/>
  <c r="V57" i="22"/>
  <c r="V58" i="22"/>
  <c r="T7" i="21"/>
  <c r="T32" i="21"/>
  <c r="F56" i="21"/>
  <c r="H56" i="21"/>
  <c r="AE56" i="21"/>
  <c r="AE56" i="22" s="1"/>
  <c r="AK56" i="21"/>
  <c r="AK56" i="22" s="1"/>
  <c r="F57" i="21"/>
  <c r="H57" i="21"/>
  <c r="H57" i="22" s="1"/>
  <c r="F58" i="21"/>
  <c r="F58" i="22" s="1"/>
  <c r="H58" i="21"/>
  <c r="H58" i="22" s="1"/>
  <c r="C61" i="21"/>
  <c r="E61" i="21"/>
  <c r="I61" i="21"/>
  <c r="K61" i="21"/>
  <c r="L61" i="21"/>
  <c r="P61" i="21"/>
  <c r="R61" i="21"/>
  <c r="U61" i="21"/>
  <c r="C2" i="22"/>
  <c r="W2" i="22"/>
  <c r="AG2" i="22"/>
  <c r="AO2" i="22"/>
  <c r="AU2" i="22"/>
  <c r="BA2" i="22"/>
  <c r="G4" i="22"/>
  <c r="T7" i="22"/>
  <c r="AY7" i="22"/>
  <c r="AY8" i="22"/>
  <c r="AY9" i="22"/>
  <c r="AY10" i="22"/>
  <c r="AY11" i="22"/>
  <c r="AY12" i="22"/>
  <c r="AY13" i="22"/>
  <c r="AY14" i="22"/>
  <c r="AY15" i="22"/>
  <c r="AY16" i="22"/>
  <c r="AY17" i="22"/>
  <c r="AY18" i="22"/>
  <c r="AY19" i="22"/>
  <c r="AY20" i="22"/>
  <c r="AY21" i="22"/>
  <c r="AY22" i="22"/>
  <c r="AY23" i="22"/>
  <c r="AY24" i="22"/>
  <c r="AY25" i="22"/>
  <c r="AY26" i="22"/>
  <c r="AY27" i="22"/>
  <c r="AY28" i="22"/>
  <c r="G29" i="22"/>
  <c r="T32" i="22"/>
  <c r="AY32" i="22"/>
  <c r="AY33" i="22"/>
  <c r="AY34" i="22"/>
  <c r="AY35" i="22"/>
  <c r="AY36" i="22"/>
  <c r="AY37" i="22"/>
  <c r="AY38" i="22"/>
  <c r="AY39" i="22"/>
  <c r="AY40" i="22"/>
  <c r="AY41" i="22"/>
  <c r="AY42" i="22"/>
  <c r="AY43" i="22"/>
  <c r="AY44" i="22"/>
  <c r="AY45" i="22"/>
  <c r="AY46" i="22"/>
  <c r="AY47" i="22"/>
  <c r="AY48" i="22"/>
  <c r="AY49" i="22"/>
  <c r="AY50" i="22"/>
  <c r="AY51" i="22"/>
  <c r="AY52" i="22"/>
  <c r="AY53" i="22"/>
  <c r="C56" i="22"/>
  <c r="E56" i="22"/>
  <c r="I56" i="22"/>
  <c r="K56" i="22"/>
  <c r="L56" i="22"/>
  <c r="P56" i="22"/>
  <c r="R56" i="22"/>
  <c r="U56" i="22"/>
  <c r="V56" i="22"/>
  <c r="X56" i="22"/>
  <c r="Z56" i="22"/>
  <c r="AB56" i="22"/>
  <c r="AG56" i="22"/>
  <c r="AI56" i="22"/>
  <c r="AM56" i="22"/>
  <c r="AO56" i="22"/>
  <c r="AV56" i="22"/>
  <c r="AY56" i="22"/>
  <c r="BA56" i="22"/>
  <c r="C57" i="22"/>
  <c r="E57" i="22"/>
  <c r="I57" i="22"/>
  <c r="K57" i="22"/>
  <c r="L57" i="22"/>
  <c r="P57" i="22"/>
  <c r="R57" i="22"/>
  <c r="U57" i="22"/>
  <c r="X57" i="22"/>
  <c r="Z57" i="22"/>
  <c r="AB57" i="22"/>
  <c r="AE57" i="22"/>
  <c r="AG57" i="22"/>
  <c r="AI57" i="22"/>
  <c r="AK57" i="22"/>
  <c r="AM57" i="22"/>
  <c r="AO57" i="22"/>
  <c r="AV57" i="22"/>
  <c r="AY57" i="22"/>
  <c r="BA57" i="22"/>
  <c r="C58" i="22"/>
  <c r="E58" i="22"/>
  <c r="I58" i="22"/>
  <c r="K58" i="22"/>
  <c r="L58" i="22"/>
  <c r="P58" i="22"/>
  <c r="R58" i="22"/>
  <c r="U58" i="22"/>
  <c r="X58" i="22"/>
  <c r="Z58" i="22"/>
  <c r="AB58" i="22"/>
  <c r="AH58" i="22"/>
  <c r="AN58" i="22"/>
  <c r="AV58" i="22"/>
  <c r="AY58" i="22"/>
  <c r="BA58" i="22"/>
  <c r="C59" i="22"/>
  <c r="E59" i="22"/>
  <c r="F59" i="22"/>
  <c r="H59" i="22"/>
  <c r="I59" i="22"/>
  <c r="K59" i="22"/>
  <c r="L59" i="22"/>
  <c r="P59" i="22"/>
  <c r="R59" i="22"/>
  <c r="U59" i="22"/>
  <c r="V59" i="22"/>
  <c r="X59" i="22"/>
  <c r="Z59" i="22"/>
  <c r="AB59" i="22"/>
  <c r="AH59" i="22"/>
  <c r="AN59" i="22"/>
  <c r="AV59" i="22"/>
  <c r="AY59" i="22"/>
  <c r="BA59" i="22"/>
  <c r="C60" i="22"/>
  <c r="C61" i="22" s="1"/>
  <c r="E60" i="22"/>
  <c r="F60" i="22"/>
  <c r="H60" i="22"/>
  <c r="I60" i="22"/>
  <c r="K60" i="22"/>
  <c r="L60" i="22"/>
  <c r="P60" i="22"/>
  <c r="R60" i="22"/>
  <c r="U60" i="22"/>
  <c r="V60" i="22"/>
  <c r="X60" i="22"/>
  <c r="Z60" i="22"/>
  <c r="AB60" i="22"/>
  <c r="AJ60" i="22"/>
  <c r="AV60" i="22"/>
  <c r="AY60" i="22"/>
  <c r="BA60" i="22"/>
  <c r="AV61" i="22"/>
  <c r="AY61" i="22"/>
  <c r="BA61" i="22"/>
  <c r="AV62" i="22"/>
  <c r="AY62" i="22"/>
  <c r="BA62" i="22"/>
  <c r="AV63" i="22"/>
  <c r="AY63" i="22"/>
  <c r="BA63" i="22"/>
  <c r="AV64" i="22"/>
  <c r="AY64" i="22"/>
  <c r="BA64" i="22"/>
  <c r="AV65" i="22"/>
  <c r="AY65" i="22"/>
  <c r="BA65" i="22"/>
  <c r="AV66" i="22"/>
  <c r="AY66" i="22"/>
  <c r="BA66" i="22"/>
  <c r="AV67" i="22"/>
  <c r="AY67" i="22"/>
  <c r="BA67" i="22"/>
  <c r="D4" i="11"/>
  <c r="B7" i="21" s="1"/>
  <c r="D5" i="11"/>
  <c r="F5" i="11" s="1"/>
  <c r="D6" i="11"/>
  <c r="B9" i="22" s="1"/>
  <c r="F6" i="11"/>
  <c r="T9" i="22" s="1"/>
  <c r="D7" i="11"/>
  <c r="B10" i="21" s="1"/>
  <c r="F7" i="11"/>
  <c r="T10" i="22" s="1"/>
  <c r="F8" i="11"/>
  <c r="T11" i="22" s="1"/>
  <c r="F9" i="11"/>
  <c r="T12" i="21" s="1"/>
  <c r="F10" i="11"/>
  <c r="T13" i="21" s="1"/>
  <c r="F11" i="11"/>
  <c r="T14" i="22" s="1"/>
  <c r="F12" i="11"/>
  <c r="T15" i="21" s="1"/>
  <c r="F13" i="11"/>
  <c r="T16" i="21" s="1"/>
  <c r="F14" i="11"/>
  <c r="T17" i="22" s="1"/>
  <c r="F15" i="11"/>
  <c r="T18" i="22" s="1"/>
  <c r="F16" i="11"/>
  <c r="T19" i="21" s="1"/>
  <c r="C17" i="11"/>
  <c r="A20" i="22" s="1"/>
  <c r="D17" i="11"/>
  <c r="B20" i="21" s="1"/>
  <c r="F17" i="11"/>
  <c r="T20" i="21" s="1"/>
  <c r="C18" i="11"/>
  <c r="A21" i="21" s="1"/>
  <c r="D18" i="11"/>
  <c r="B21" i="22" s="1"/>
  <c r="F18" i="11"/>
  <c r="T21" i="21" s="1"/>
  <c r="C19" i="11"/>
  <c r="A22" i="22" s="1"/>
  <c r="D19" i="11"/>
  <c r="B22" i="21" s="1"/>
  <c r="F19" i="11"/>
  <c r="T22" i="21" s="1"/>
  <c r="C20" i="11"/>
  <c r="A23" i="22" s="1"/>
  <c r="D20" i="11"/>
  <c r="B23" i="22" s="1"/>
  <c r="F20" i="11"/>
  <c r="T23" i="22" s="1"/>
  <c r="C21" i="11"/>
  <c r="A24" i="22" s="1"/>
  <c r="D21" i="11"/>
  <c r="B24" i="21" s="1"/>
  <c r="F21" i="11"/>
  <c r="T24" i="21" s="1"/>
  <c r="C22" i="11"/>
  <c r="A25" i="21" s="1"/>
  <c r="D22" i="11"/>
  <c r="B25" i="22" s="1"/>
  <c r="F22" i="11"/>
  <c r="T25" i="21" s="1"/>
  <c r="C23" i="11"/>
  <c r="A26" i="21" s="1"/>
  <c r="D23" i="11"/>
  <c r="B26" i="22" s="1"/>
  <c r="F23" i="11"/>
  <c r="T26" i="21" s="1"/>
  <c r="C24" i="11"/>
  <c r="A27" i="22" s="1"/>
  <c r="D24" i="11"/>
  <c r="B27" i="21" s="1"/>
  <c r="E24" i="11"/>
  <c r="O27" i="21" s="1"/>
  <c r="F24" i="11"/>
  <c r="T27" i="21" s="1"/>
  <c r="C25" i="11"/>
  <c r="A28" i="22" s="1"/>
  <c r="D25" i="11"/>
  <c r="B28" i="21" s="1"/>
  <c r="E25" i="11"/>
  <c r="O28" i="22" s="1"/>
  <c r="F25" i="11"/>
  <c r="T28" i="21" s="1"/>
  <c r="D26" i="11"/>
  <c r="AJ28" i="22" s="1"/>
  <c r="D27" i="11"/>
  <c r="AJ28" i="21" s="1"/>
  <c r="C4" i="23"/>
  <c r="A32" i="22" s="1"/>
  <c r="D4" i="23"/>
  <c r="B32" i="22" s="1"/>
  <c r="C5" i="23"/>
  <c r="A33" i="22" s="1"/>
  <c r="D5" i="23"/>
  <c r="B33" i="21" s="1"/>
  <c r="C6" i="23"/>
  <c r="A34" i="21" s="1"/>
  <c r="D6" i="23"/>
  <c r="B34" i="22" s="1"/>
  <c r="T34" i="21"/>
  <c r="C7" i="23"/>
  <c r="A35" i="22" s="1"/>
  <c r="D7" i="23"/>
  <c r="B35" i="21" s="1"/>
  <c r="T35" i="21"/>
  <c r="C8" i="23"/>
  <c r="A36" i="22" s="1"/>
  <c r="D8" i="23"/>
  <c r="B36" i="22" s="1"/>
  <c r="T36" i="22"/>
  <c r="C9" i="23"/>
  <c r="A37" i="22" s="1"/>
  <c r="D9" i="23"/>
  <c r="B37" i="22" s="1"/>
  <c r="T37" i="21"/>
  <c r="C10" i="23"/>
  <c r="A38" i="21" s="1"/>
  <c r="D10" i="23"/>
  <c r="B38" i="21" s="1"/>
  <c r="F10" i="23"/>
  <c r="T38" i="22" s="1"/>
  <c r="C11" i="23"/>
  <c r="A39" i="22" s="1"/>
  <c r="D11" i="23"/>
  <c r="B39" i="22" s="1"/>
  <c r="F11" i="23"/>
  <c r="T39" i="21" s="1"/>
  <c r="C12" i="23"/>
  <c r="A40" i="21" s="1"/>
  <c r="D12" i="23"/>
  <c r="B40" i="22" s="1"/>
  <c r="F12" i="23"/>
  <c r="T40" i="22" s="1"/>
  <c r="C13" i="23"/>
  <c r="A41" i="22" s="1"/>
  <c r="D13" i="23"/>
  <c r="B41" i="21" s="1"/>
  <c r="F13" i="23"/>
  <c r="T41" i="21" s="1"/>
  <c r="C14" i="23"/>
  <c r="A42" i="22" s="1"/>
  <c r="D14" i="23"/>
  <c r="B42" i="22" s="1"/>
  <c r="F14" i="23"/>
  <c r="T42" i="22" s="1"/>
  <c r="C15" i="23"/>
  <c r="A43" i="22" s="1"/>
  <c r="D15" i="23"/>
  <c r="B43" i="22" s="1"/>
  <c r="F15" i="23"/>
  <c r="T43" i="22" s="1"/>
  <c r="C16" i="23"/>
  <c r="A44" i="22" s="1"/>
  <c r="D16" i="23"/>
  <c r="B44" i="21" s="1"/>
  <c r="F16" i="23"/>
  <c r="T44" i="22" s="1"/>
  <c r="C17" i="23"/>
  <c r="A45" i="21" s="1"/>
  <c r="D17" i="23"/>
  <c r="B45" i="22" s="1"/>
  <c r="F17" i="23"/>
  <c r="T45" i="21" s="1"/>
  <c r="C18" i="23"/>
  <c r="A46" i="21" s="1"/>
  <c r="D18" i="23"/>
  <c r="B46" i="22" s="1"/>
  <c r="F18" i="23"/>
  <c r="T46" i="21" s="1"/>
  <c r="C19" i="23"/>
  <c r="A47" i="22" s="1"/>
  <c r="D19" i="23"/>
  <c r="B47" i="21" s="1"/>
  <c r="F19" i="23"/>
  <c r="T47" i="22" s="1"/>
  <c r="C20" i="23"/>
  <c r="A48" i="21" s="1"/>
  <c r="D20" i="23"/>
  <c r="B48" i="22" s="1"/>
  <c r="F20" i="23"/>
  <c r="T48" i="22" s="1"/>
  <c r="C21" i="23"/>
  <c r="A49" i="22" s="1"/>
  <c r="D21" i="23"/>
  <c r="B49" i="22" s="1"/>
  <c r="F21" i="23"/>
  <c r="T49" i="22" s="1"/>
  <c r="C22" i="23"/>
  <c r="A50" i="22" s="1"/>
  <c r="D22" i="23"/>
  <c r="B50" i="21" s="1"/>
  <c r="F22" i="23"/>
  <c r="T50" i="22" s="1"/>
  <c r="C23" i="23"/>
  <c r="A51" i="22" s="1"/>
  <c r="D23" i="23"/>
  <c r="B51" i="22" s="1"/>
  <c r="F23" i="23"/>
  <c r="T51" i="22" s="1"/>
  <c r="C24" i="23"/>
  <c r="A52" i="21" s="1"/>
  <c r="D24" i="23"/>
  <c r="B52" i="22" s="1"/>
  <c r="E24" i="23"/>
  <c r="O52" i="22" s="1"/>
  <c r="F24" i="23"/>
  <c r="T52" i="21" s="1"/>
  <c r="C25" i="23"/>
  <c r="A53" i="22" s="1"/>
  <c r="D25" i="23"/>
  <c r="B53" i="22" s="1"/>
  <c r="E25" i="23"/>
  <c r="O53" i="21" s="1"/>
  <c r="F25" i="23"/>
  <c r="T53" i="21" s="1"/>
  <c r="D26" i="23"/>
  <c r="G64" i="21" s="1"/>
  <c r="G64" i="22" s="1"/>
  <c r="D27" i="23"/>
  <c r="AJ53" i="21" s="1"/>
  <c r="F57" i="22"/>
  <c r="B16" i="22" l="1"/>
  <c r="B16" i="21"/>
  <c r="O4" i="11"/>
  <c r="R24" i="11" s="1"/>
  <c r="O12" i="11"/>
  <c r="R13" i="11" s="1"/>
  <c r="O20" i="11"/>
  <c r="R21" i="11" s="1"/>
  <c r="P6" i="11"/>
  <c r="P14" i="11"/>
  <c r="S15" i="11" s="1"/>
  <c r="P22" i="11"/>
  <c r="S23" i="11" s="1"/>
  <c r="O6" i="23"/>
  <c r="R10" i="23" s="1"/>
  <c r="O14" i="23"/>
  <c r="R18" i="23" s="1"/>
  <c r="O22" i="23"/>
  <c r="P8" i="23"/>
  <c r="S12" i="23" s="1"/>
  <c r="P16" i="23"/>
  <c r="S20" i="23" s="1"/>
  <c r="P24" i="23"/>
  <c r="H61" i="21"/>
  <c r="O5" i="11"/>
  <c r="R27" i="11" s="1"/>
  <c r="O13" i="11"/>
  <c r="R14" i="11" s="1"/>
  <c r="O21" i="11"/>
  <c r="R22" i="11" s="1"/>
  <c r="P7" i="11"/>
  <c r="P15" i="11"/>
  <c r="S16" i="11" s="1"/>
  <c r="P23" i="11"/>
  <c r="S25" i="11" s="1"/>
  <c r="O7" i="23"/>
  <c r="O15" i="23"/>
  <c r="R19" i="23" s="1"/>
  <c r="O23" i="23"/>
  <c r="P9" i="23"/>
  <c r="S13" i="23" s="1"/>
  <c r="P17" i="23"/>
  <c r="S21" i="23" s="1"/>
  <c r="P25" i="23"/>
  <c r="F61" i="21"/>
  <c r="O6" i="11"/>
  <c r="O14" i="11"/>
  <c r="R15" i="11" s="1"/>
  <c r="O22" i="11"/>
  <c r="R23" i="11" s="1"/>
  <c r="P8" i="11"/>
  <c r="S9" i="11" s="1"/>
  <c r="P16" i="11"/>
  <c r="S17" i="11" s="1"/>
  <c r="P24" i="11"/>
  <c r="S26" i="11" s="1"/>
  <c r="O8" i="23"/>
  <c r="R12" i="23" s="1"/>
  <c r="O16" i="23"/>
  <c r="R20" i="23" s="1"/>
  <c r="O24" i="23"/>
  <c r="P10" i="23"/>
  <c r="S14" i="23" s="1"/>
  <c r="P18" i="23"/>
  <c r="S22" i="23" s="1"/>
  <c r="U61" i="22"/>
  <c r="O7" i="11"/>
  <c r="O15" i="11"/>
  <c r="R16" i="11" s="1"/>
  <c r="O23" i="11"/>
  <c r="R25" i="11" s="1"/>
  <c r="P9" i="11"/>
  <c r="P17" i="11"/>
  <c r="S18" i="11" s="1"/>
  <c r="P25" i="11"/>
  <c r="S28" i="11" s="1"/>
  <c r="O9" i="23"/>
  <c r="R13" i="23" s="1"/>
  <c r="O17" i="23"/>
  <c r="R21" i="23" s="1"/>
  <c r="O25" i="23"/>
  <c r="P11" i="23"/>
  <c r="S15" i="23" s="1"/>
  <c r="P19" i="23"/>
  <c r="S23" i="23" s="1"/>
  <c r="O8" i="11"/>
  <c r="R9" i="11" s="1"/>
  <c r="O16" i="11"/>
  <c r="R17" i="11" s="1"/>
  <c r="O24" i="11"/>
  <c r="R26" i="11" s="1"/>
  <c r="P10" i="11"/>
  <c r="S11" i="11" s="1"/>
  <c r="P18" i="11"/>
  <c r="S19" i="11" s="1"/>
  <c r="O10" i="23"/>
  <c r="R14" i="23" s="1"/>
  <c r="O18" i="23"/>
  <c r="R22" i="23" s="1"/>
  <c r="P4" i="23"/>
  <c r="P12" i="23"/>
  <c r="S16" i="23" s="1"/>
  <c r="P20" i="23"/>
  <c r="S25" i="23" s="1"/>
  <c r="I61" i="22"/>
  <c r="O9" i="11"/>
  <c r="O17" i="11"/>
  <c r="R18" i="11" s="1"/>
  <c r="O25" i="11"/>
  <c r="R28" i="11" s="1"/>
  <c r="P11" i="11"/>
  <c r="S12" i="11" s="1"/>
  <c r="P19" i="11"/>
  <c r="S20" i="11" s="1"/>
  <c r="O11" i="23"/>
  <c r="R15" i="23" s="1"/>
  <c r="O19" i="23"/>
  <c r="R23" i="23" s="1"/>
  <c r="P5" i="23"/>
  <c r="S26" i="23" s="1"/>
  <c r="P13" i="23"/>
  <c r="S17" i="23" s="1"/>
  <c r="P21" i="23"/>
  <c r="E61" i="22"/>
  <c r="O10" i="11"/>
  <c r="R11" i="11" s="1"/>
  <c r="O18" i="11"/>
  <c r="R19" i="11" s="1"/>
  <c r="P4" i="11"/>
  <c r="S24" i="11" s="1"/>
  <c r="P12" i="11"/>
  <c r="S13" i="11" s="1"/>
  <c r="P20" i="11"/>
  <c r="S21" i="11" s="1"/>
  <c r="O4" i="23"/>
  <c r="O12" i="23"/>
  <c r="R16" i="23" s="1"/>
  <c r="O20" i="23"/>
  <c r="R25" i="23" s="1"/>
  <c r="P6" i="23"/>
  <c r="S10" i="23" s="1"/>
  <c r="P14" i="23"/>
  <c r="S18" i="23" s="1"/>
  <c r="P22" i="23"/>
  <c r="O11" i="11"/>
  <c r="R12" i="11" s="1"/>
  <c r="O19" i="11"/>
  <c r="R20" i="11" s="1"/>
  <c r="P5" i="11"/>
  <c r="S27" i="11" s="1"/>
  <c r="P13" i="11"/>
  <c r="S14" i="11" s="1"/>
  <c r="P21" i="11"/>
  <c r="S22" i="11" s="1"/>
  <c r="O5" i="23"/>
  <c r="R26" i="23" s="1"/>
  <c r="O13" i="23"/>
  <c r="R17" i="23" s="1"/>
  <c r="O21" i="23"/>
  <c r="P7" i="23"/>
  <c r="P15" i="23"/>
  <c r="S19" i="23" s="1"/>
  <c r="P23" i="23"/>
  <c r="B37" i="21"/>
  <c r="R61" i="22"/>
  <c r="F56" i="22"/>
  <c r="F61" i="22" s="1"/>
  <c r="P61" i="22"/>
  <c r="L61" i="22"/>
  <c r="K61" i="22"/>
  <c r="H56" i="22"/>
  <c r="H61" i="22" s="1"/>
  <c r="B15" i="22"/>
  <c r="O38" i="21"/>
  <c r="B13" i="22"/>
  <c r="B12" i="22"/>
  <c r="O39" i="22"/>
  <c r="A36" i="21"/>
  <c r="A7" i="22"/>
  <c r="A16" i="21"/>
  <c r="B10" i="22"/>
  <c r="O18" i="22"/>
  <c r="O26" i="22"/>
  <c r="A13" i="22"/>
  <c r="O13" i="22"/>
  <c r="O14" i="22"/>
  <c r="B26" i="21"/>
  <c r="O25" i="21"/>
  <c r="B21" i="21"/>
  <c r="A11" i="22"/>
  <c r="O11" i="22"/>
  <c r="O7" i="21"/>
  <c r="A8" i="21"/>
  <c r="E27" i="24" s="1"/>
  <c r="B22" i="22"/>
  <c r="B14" i="22"/>
  <c r="O8" i="22"/>
  <c r="A12" i="22"/>
  <c r="O19" i="21"/>
  <c r="O21" i="22"/>
  <c r="B17" i="22"/>
  <c r="T22" i="22"/>
  <c r="A21" i="22"/>
  <c r="T27" i="22"/>
  <c r="A27" i="21"/>
  <c r="A22" i="21"/>
  <c r="B27" i="22"/>
  <c r="T26" i="22"/>
  <c r="O23" i="22"/>
  <c r="O17" i="21"/>
  <c r="A14" i="21"/>
  <c r="A28" i="21"/>
  <c r="O27" i="22"/>
  <c r="O22" i="22"/>
  <c r="O20" i="22"/>
  <c r="A23" i="21"/>
  <c r="T21" i="22"/>
  <c r="O28" i="21"/>
  <c r="T16" i="22"/>
  <c r="A19" i="21"/>
  <c r="T15" i="22"/>
  <c r="O10" i="22"/>
  <c r="O12" i="21"/>
  <c r="A15" i="21"/>
  <c r="T28" i="22"/>
  <c r="T25" i="22"/>
  <c r="A25" i="22"/>
  <c r="B24" i="22"/>
  <c r="T23" i="21"/>
  <c r="A20" i="21"/>
  <c r="T18" i="21"/>
  <c r="T12" i="22"/>
  <c r="T10" i="21"/>
  <c r="B7" i="22"/>
  <c r="O15" i="21"/>
  <c r="A18" i="21"/>
  <c r="B18" i="21"/>
  <c r="G63" i="21"/>
  <c r="G63" i="22" s="1"/>
  <c r="T11" i="21"/>
  <c r="T19" i="22"/>
  <c r="A24" i="21"/>
  <c r="B25" i="21"/>
  <c r="A10" i="21"/>
  <c r="T17" i="21"/>
  <c r="T24" i="22"/>
  <c r="B20" i="22"/>
  <c r="T13" i="22"/>
  <c r="B8" i="22"/>
  <c r="O9" i="21"/>
  <c r="A17" i="22"/>
  <c r="B47" i="22"/>
  <c r="B39" i="21"/>
  <c r="A37" i="21"/>
  <c r="A32" i="21"/>
  <c r="E31" i="24" s="1"/>
  <c r="T48" i="21"/>
  <c r="T41" i="22"/>
  <c r="A42" i="21"/>
  <c r="A34" i="22"/>
  <c r="A50" i="21"/>
  <c r="B43" i="21"/>
  <c r="O42" i="21"/>
  <c r="A44" i="21"/>
  <c r="T45" i="22"/>
  <c r="O48" i="21"/>
  <c r="T50" i="21"/>
  <c r="B48" i="21"/>
  <c r="B46" i="21"/>
  <c r="B40" i="21"/>
  <c r="B34" i="21"/>
  <c r="B36" i="21"/>
  <c r="B50" i="22"/>
  <c r="O53" i="22"/>
  <c r="B49" i="21"/>
  <c r="B32" i="21"/>
  <c r="O40" i="21"/>
  <c r="O41" i="22"/>
  <c r="A51" i="21"/>
  <c r="O46" i="21"/>
  <c r="T43" i="21"/>
  <c r="A47" i="21"/>
  <c r="A35" i="21"/>
  <c r="O34" i="22"/>
  <c r="T36" i="21"/>
  <c r="T39" i="22"/>
  <c r="T51" i="21"/>
  <c r="A48" i="22"/>
  <c r="A45" i="22"/>
  <c r="A41" i="21"/>
  <c r="A38" i="22"/>
  <c r="A53" i="21"/>
  <c r="T42" i="21"/>
  <c r="T38" i="21"/>
  <c r="T35" i="22"/>
  <c r="O44" i="22"/>
  <c r="O32" i="21"/>
  <c r="O50" i="21"/>
  <c r="O35" i="22"/>
  <c r="A39" i="21"/>
  <c r="A40" i="22"/>
  <c r="O47" i="21"/>
  <c r="T37" i="22"/>
  <c r="T47" i="21"/>
  <c r="A49" i="21"/>
  <c r="B44" i="22"/>
  <c r="A33" i="21"/>
  <c r="E32" i="24" s="1"/>
  <c r="O43" i="22"/>
  <c r="T52" i="22"/>
  <c r="T40" i="21"/>
  <c r="A46" i="22"/>
  <c r="T49" i="21"/>
  <c r="F5" i="23"/>
  <c r="T33" i="22" s="1"/>
  <c r="O52" i="21"/>
  <c r="O49" i="21"/>
  <c r="B38" i="22"/>
  <c r="B42" i="21"/>
  <c r="B33" i="22"/>
  <c r="AJ53" i="22"/>
  <c r="T53" i="22"/>
  <c r="B53" i="21"/>
  <c r="A52" i="22"/>
  <c r="B51" i="21"/>
  <c r="T46" i="22"/>
  <c r="B45" i="21"/>
  <c r="A43" i="21"/>
  <c r="B41" i="22"/>
  <c r="B35" i="22"/>
  <c r="T34" i="22"/>
  <c r="O51" i="22"/>
  <c r="O36" i="22"/>
  <c r="T8" i="22"/>
  <c r="T8" i="21"/>
  <c r="T14" i="21"/>
  <c r="A9" i="22"/>
  <c r="T44" i="21"/>
  <c r="T9" i="21"/>
  <c r="T20" i="22"/>
  <c r="B8" i="21"/>
  <c r="O37" i="22"/>
  <c r="B28" i="22"/>
  <c r="B19" i="22"/>
  <c r="O33" i="22"/>
  <c r="O45" i="21"/>
  <c r="O16" i="22"/>
  <c r="O24" i="21"/>
  <c r="B11" i="21"/>
  <c r="B9" i="21"/>
  <c r="B52" i="21"/>
  <c r="B23" i="21"/>
  <c r="A26" i="22"/>
  <c r="R4" i="23" l="1"/>
  <c r="R9" i="23"/>
  <c r="S4" i="23"/>
  <c r="S9" i="23"/>
  <c r="S8" i="23"/>
  <c r="S24" i="23"/>
  <c r="R8" i="23"/>
  <c r="R24" i="23"/>
  <c r="S10" i="11"/>
  <c r="S7" i="11"/>
  <c r="R10" i="11"/>
  <c r="R7" i="11"/>
  <c r="S11" i="23"/>
  <c r="R11" i="23"/>
  <c r="R4" i="11"/>
  <c r="R8" i="11"/>
  <c r="S4" i="11"/>
  <c r="S8" i="11"/>
  <c r="T33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Owner</author>
  </authors>
  <commentList>
    <comment ref="N5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ゲームシートに入力する値です。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AチームのGKの背番号です。</t>
        </r>
      </text>
    </comment>
    <comment ref="P6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アナウンスする、相手チームのシュート数です。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Steve Fukuda, GLOBAL CORP</author>
  </authors>
  <commentList>
    <comment ref="W7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時間は :　抜きで4桁の数値のみ入力</t>
        </r>
      </text>
    </comment>
    <comment ref="AP7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時間は :　抜きで4桁の数値のみ入力</t>
        </r>
      </text>
    </comment>
    <comment ref="W32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時間は :　抜きで4桁の数値のみ入力</t>
        </r>
      </text>
    </comment>
    <comment ref="AP32" authorId="0" shapeId="0" xr:uid="{00000000-0006-0000-0400-000004000000}">
      <text>
        <r>
          <rPr>
            <sz val="9"/>
            <color indexed="81"/>
            <rFont val="ＭＳ Ｐゴシック"/>
            <family val="3"/>
            <charset val="128"/>
          </rPr>
          <t>時間は :　抜きで4桁の数値のみ入力</t>
        </r>
      </text>
    </comment>
    <comment ref="V56" authorId="0" shapeId="0" xr:uid="{00000000-0006-0000-0400-000005000000}">
      <text>
        <r>
          <rPr>
            <sz val="9"/>
            <color indexed="81"/>
            <rFont val="ＭＳ Ｐゴシック"/>
            <family val="3"/>
            <charset val="128"/>
          </rPr>
          <t>GK Save とは
A :攻撃側がゴールにむかって打ったシュートでキーパーが防いだもの
B: 打たれたシュートがゴールを若干外れていてもキーパーがさばいた場合はキーパーが
　 ゴールになると判断したという事情で SAVE として数えます。
以下の場合は SAVEではありません
１．パスが流れてキーパーにあたったもの、アイシングパック等がキーパーにあたったもの
２．キーパーにあたらずゴールポストにあたったもの
３．どんなすごいシュートでもプレーヤーが防いでキーパーにあたらなかったもの
GKAがさばいたシュート数+Bの得点をBのSOGとして自動計算します。</t>
        </r>
      </text>
    </comment>
    <comment ref="Z56" authorId="0" shapeId="0" xr:uid="{00000000-0006-0000-0400-000006000000}">
      <text>
        <r>
          <rPr>
            <sz val="9"/>
            <color indexed="81"/>
            <rFont val="ＭＳ Ｐゴシック"/>
            <family val="3"/>
            <charset val="128"/>
          </rPr>
          <t>GK Save とは
A :攻撃側がゴールにむかって打ったシュートでキーパーが防いだもの
B: 打たれたシュートがゴールを若干外れていてもキーパーがさばいた場合はキーパーが
　 ゴールになると判断したという事情で SAVE として数えます。
以下の場合は SAVEではありません
１．パスが流れてキーパーにあたったもの、アイシングパック等がキーパーにあたったもの
２．キーパーにあたらずゴールポストにあたったもの
３．どんなすごいシュートでもプレーヤーが防いでキーパーにあたらなかったもの
GKBがさばいたシュート数+Aの得点をAのSOGとして自動計算します。</t>
        </r>
      </text>
    </comment>
    <comment ref="AG56" authorId="0" shapeId="0" xr:uid="{00000000-0006-0000-0400-000007000000}">
      <text>
        <r>
          <rPr>
            <sz val="9"/>
            <color indexed="81"/>
            <rFont val="ＭＳ Ｐゴシック"/>
            <family val="3"/>
            <charset val="128"/>
          </rPr>
          <t>GK changes の時間を基に自動計算します
AY列にGKの番号を入力してください</t>
        </r>
      </text>
    </comment>
    <comment ref="AM56" authorId="0" shapeId="0" xr:uid="{00000000-0006-0000-0400-000008000000}">
      <text>
        <r>
          <rPr>
            <sz val="9"/>
            <color indexed="81"/>
            <rFont val="ＭＳ Ｐゴシック"/>
            <family val="3"/>
            <charset val="128"/>
          </rPr>
          <t>GK changes の時間を基に自動計算します
BA列にGKの番号を入力してください</t>
        </r>
      </text>
    </comment>
    <comment ref="AV57" authorId="0" shapeId="0" xr:uid="{00000000-0006-0000-0400-000009000000}">
      <text>
        <r>
          <rPr>
            <b/>
            <sz val="9"/>
            <color indexed="81"/>
            <rFont val="ＭＳ Ｐゴシック"/>
            <family val="3"/>
            <charset val="128"/>
          </rPr>
          <t>試合終了時間の入力は全ての得点を入力してから行ってください
順番が異なるとGKの失点が正しく計算されません</t>
        </r>
      </text>
    </comment>
    <comment ref="AH58" authorId="0" shapeId="0" xr:uid="{00000000-0006-0000-0400-00000A000000}">
      <text>
        <r>
          <rPr>
            <sz val="9"/>
            <color indexed="81"/>
            <rFont val="ＭＳ Ｐゴシック"/>
            <family val="3"/>
            <charset val="128"/>
          </rPr>
          <t>時間は :　抜きで4桁の数値のみ入力</t>
        </r>
      </text>
    </comment>
    <comment ref="AV58" authorId="0" shapeId="0" xr:uid="{00000000-0006-0000-0400-00000B000000}">
      <text>
        <r>
          <rPr>
            <b/>
            <sz val="9"/>
            <color indexed="81"/>
            <rFont val="ＭＳ Ｐゴシック"/>
            <family val="3"/>
            <charset val="128"/>
          </rPr>
          <t>試合終了時間の入力は全ての得点を入力してから行ってください
順番が異なるとGKの失点が正しく計算されません</t>
        </r>
      </text>
    </comment>
    <comment ref="AV59" authorId="0" shapeId="0" xr:uid="{00000000-0006-0000-0400-00000C000000}">
      <text>
        <r>
          <rPr>
            <b/>
            <sz val="9"/>
            <color indexed="81"/>
            <rFont val="ＭＳ Ｐゴシック"/>
            <family val="3"/>
            <charset val="128"/>
          </rPr>
          <t>試合終了時間の入力は全ての得点を入力してから行ってください
順番が異なるとGKの失点が正しく計算されません</t>
        </r>
      </text>
    </comment>
    <comment ref="AV60" authorId="0" shapeId="0" xr:uid="{00000000-0006-0000-0400-00000D000000}">
      <text>
        <r>
          <rPr>
            <b/>
            <sz val="9"/>
            <color indexed="81"/>
            <rFont val="ＭＳ Ｐゴシック"/>
            <family val="3"/>
            <charset val="128"/>
          </rPr>
          <t>試合終了時間の入力は全ての得点を入力してから行ってください
順番が異なるとGKの失点が正しく計算されません</t>
        </r>
      </text>
    </comment>
    <comment ref="AV61" authorId="0" shapeId="0" xr:uid="{00000000-0006-0000-0400-00000E000000}">
      <text>
        <r>
          <rPr>
            <b/>
            <sz val="9"/>
            <color indexed="81"/>
            <rFont val="ＭＳ Ｐゴシック"/>
            <family val="3"/>
            <charset val="128"/>
          </rPr>
          <t>試合終了時間の入力は全ての得点を入力してから行ってください
順番が異なるとGKの失点が正しく計算されません</t>
        </r>
      </text>
    </comment>
    <comment ref="AV62" authorId="0" shapeId="0" xr:uid="{00000000-0006-0000-0400-00000F000000}">
      <text>
        <r>
          <rPr>
            <b/>
            <sz val="9"/>
            <color indexed="81"/>
            <rFont val="ＭＳ Ｐゴシック"/>
            <family val="3"/>
            <charset val="128"/>
          </rPr>
          <t>試合終了時間の入力は全ての得点を入力してから行ってください
順番が異なるとGKの失点が正しく計算されません</t>
        </r>
      </text>
    </comment>
    <comment ref="AV63" authorId="0" shapeId="0" xr:uid="{00000000-0006-0000-0400-000010000000}">
      <text>
        <r>
          <rPr>
            <b/>
            <sz val="9"/>
            <color indexed="81"/>
            <rFont val="ＭＳ Ｐゴシック"/>
            <family val="3"/>
            <charset val="128"/>
          </rPr>
          <t>試合終了時間の入力は全ての得点を入力してから行ってください
順番が異なるとGKの失点が正しく計算されません</t>
        </r>
      </text>
    </comment>
    <comment ref="AV64" authorId="0" shapeId="0" xr:uid="{00000000-0006-0000-0400-000011000000}">
      <text>
        <r>
          <rPr>
            <b/>
            <sz val="9"/>
            <color indexed="81"/>
            <rFont val="ＭＳ Ｐゴシック"/>
            <family val="3"/>
            <charset val="128"/>
          </rPr>
          <t>試合終了時間の入力は全ての得点を入力してから行ってください
順番が異なるとGKの失点が正しく計算されません</t>
        </r>
      </text>
    </comment>
    <comment ref="AV65" authorId="0" shapeId="0" xr:uid="{00000000-0006-0000-0400-000012000000}">
      <text>
        <r>
          <rPr>
            <b/>
            <sz val="9"/>
            <color indexed="81"/>
            <rFont val="ＭＳ Ｐゴシック"/>
            <family val="3"/>
            <charset val="128"/>
          </rPr>
          <t>試合終了時間の入力は全ての得点を入力してから行ってください
順番が異なるとGKの失点が正しく計算されません</t>
        </r>
      </text>
    </comment>
    <comment ref="AV66" authorId="0" shapeId="0" xr:uid="{00000000-0006-0000-0400-000013000000}">
      <text>
        <r>
          <rPr>
            <b/>
            <sz val="9"/>
            <color indexed="81"/>
            <rFont val="ＭＳ Ｐゴシック"/>
            <family val="3"/>
            <charset val="128"/>
          </rPr>
          <t>試合終了時間の入力は全ての得点を入力してから行ってください
順番が異なるとGKの失点が正しく計算されません</t>
        </r>
      </text>
    </comment>
    <comment ref="AV67" authorId="0" shapeId="0" xr:uid="{00000000-0006-0000-0400-000014000000}">
      <text>
        <r>
          <rPr>
            <b/>
            <sz val="9"/>
            <color indexed="81"/>
            <rFont val="ＭＳ Ｐゴシック"/>
            <family val="3"/>
            <charset val="128"/>
          </rPr>
          <t>試合終了時間の入力は全ての得点を入力してから行ってください
順番が異なるとGKの失点が正しく計算されません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Steve Fukuda, GLOBAL CORP</author>
  </authors>
  <commentList>
    <comment ref="AP7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時間は :　抜きで4桁の数値のみ入力</t>
        </r>
      </text>
    </comment>
    <comment ref="AP32" authorId="0" shapeId="0" xr:uid="{00000000-0006-0000-0500-000002000000}">
      <text>
        <r>
          <rPr>
            <sz val="9"/>
            <color indexed="81"/>
            <rFont val="ＭＳ Ｐゴシック"/>
            <family val="3"/>
            <charset val="128"/>
          </rPr>
          <t>時間は :　抜きで4桁の数値のみ入力</t>
        </r>
      </text>
    </comment>
  </commentList>
</comments>
</file>

<file path=xl/sharedStrings.xml><?xml version="1.0" encoding="utf-8"?>
<sst xmlns="http://schemas.openxmlformats.org/spreadsheetml/2006/main" count="3740" uniqueCount="1905">
  <si>
    <t>kihf　　競技委員会</t>
    <rPh sb="6" eb="11">
      <t>キョウギイインカイ</t>
    </rPh>
    <phoneticPr fontId="13"/>
  </si>
  <si>
    <t>公式記録用チェックシート</t>
    <rPh sb="0" eb="2">
      <t>コウシキ</t>
    </rPh>
    <rPh sb="2" eb="4">
      <t>キロク</t>
    </rPh>
    <rPh sb="4" eb="5">
      <t>ヨウ</t>
    </rPh>
    <phoneticPr fontId="13"/>
  </si>
  <si>
    <t>記入者</t>
    <rPh sb="0" eb="2">
      <t>キニュウ</t>
    </rPh>
    <rPh sb="2" eb="3">
      <t>シャ</t>
    </rPh>
    <phoneticPr fontId="13"/>
  </si>
  <si>
    <t>日付</t>
    <rPh sb="0" eb="2">
      <t>ヒヅケ</t>
    </rPh>
    <phoneticPr fontId="13"/>
  </si>
  <si>
    <t>開始時刻</t>
    <rPh sb="0" eb="2">
      <t>カイシ</t>
    </rPh>
    <rPh sb="2" eb="4">
      <t>ジコク</t>
    </rPh>
    <phoneticPr fontId="13"/>
  </si>
  <si>
    <t>試合番号</t>
    <rPh sb="0" eb="2">
      <t>シアイ</t>
    </rPh>
    <rPh sb="2" eb="4">
      <t>バンゴウ</t>
    </rPh>
    <phoneticPr fontId="13"/>
  </si>
  <si>
    <t>終了時刻</t>
    <rPh sb="0" eb="2">
      <t>シュウリョウ</t>
    </rPh>
    <rPh sb="2" eb="4">
      <t>ジコク</t>
    </rPh>
    <phoneticPr fontId="13"/>
  </si>
  <si>
    <t xml:space="preserve">Home Team (A)   </t>
    <phoneticPr fontId="13"/>
  </si>
  <si>
    <t xml:space="preserve">Visiting Team (B)    </t>
    <phoneticPr fontId="13"/>
  </si>
  <si>
    <t>G</t>
    <phoneticPr fontId="13"/>
  </si>
  <si>
    <t>A1</t>
    <phoneticPr fontId="13"/>
  </si>
  <si>
    <t>A2</t>
    <phoneticPr fontId="13"/>
  </si>
  <si>
    <t>＃</t>
    <phoneticPr fontId="13"/>
  </si>
  <si>
    <t>GS</t>
    <phoneticPr fontId="13"/>
  </si>
  <si>
    <t>GK</t>
    <phoneticPr fontId="13"/>
  </si>
  <si>
    <t>Time</t>
    <phoneticPr fontId="13"/>
  </si>
  <si>
    <r>
      <rPr>
        <b/>
        <sz val="9"/>
        <rFont val="ＭＳ Ｐ明朝"/>
        <family val="1"/>
        <charset val="128"/>
      </rPr>
      <t>表示時間</t>
    </r>
    <rPh sb="0" eb="4">
      <t>ヒョウジジカン</t>
    </rPh>
    <phoneticPr fontId="13"/>
  </si>
  <si>
    <t>No.</t>
  </si>
  <si>
    <t>Min</t>
  </si>
  <si>
    <t>Offence</t>
    <phoneticPr fontId="13"/>
  </si>
  <si>
    <t>Start</t>
  </si>
  <si>
    <t>End</t>
    <phoneticPr fontId="13"/>
  </si>
  <si>
    <t>-</t>
  </si>
  <si>
    <t>0:00</t>
    <phoneticPr fontId="13"/>
  </si>
  <si>
    <t>石山卓男</t>
    <rPh sb="0" eb="2">
      <t>イシヤマ</t>
    </rPh>
    <rPh sb="2" eb="4">
      <t>タカオ</t>
    </rPh>
    <phoneticPr fontId="13"/>
  </si>
  <si>
    <t>5-3</t>
  </si>
  <si>
    <r>
      <t xml:space="preserve">Home Team (A)    </t>
    </r>
    <r>
      <rPr>
        <b/>
        <sz val="8"/>
        <rFont val="Times New Roman"/>
        <family val="1"/>
      </rPr>
      <t xml:space="preserve">  </t>
    </r>
    <r>
      <rPr>
        <b/>
        <sz val="14"/>
        <rFont val="ＭＳ Ｐ明朝"/>
        <family val="1"/>
        <charset val="128"/>
      </rPr>
      <t>神奈川レッドスターズ</t>
    </r>
    <phoneticPr fontId="13"/>
  </si>
  <si>
    <r>
      <t xml:space="preserve">Visiting Team (B)    </t>
    </r>
    <r>
      <rPr>
        <b/>
        <sz val="14"/>
        <rFont val="ＭＳ Ｐ明朝"/>
        <family val="1"/>
        <charset val="128"/>
      </rPr>
      <t>新横浜ブルーインパルス</t>
    </r>
    <phoneticPr fontId="13"/>
  </si>
  <si>
    <r>
      <rPr>
        <b/>
        <sz val="9"/>
        <color indexed="30"/>
        <rFont val="ＭＳ Ｐ明朝"/>
        <family val="1"/>
        <charset val="128"/>
      </rPr>
      <t>表示時間</t>
    </r>
    <rPh sb="0" eb="4">
      <t>ヒョウジジカン</t>
    </rPh>
    <phoneticPr fontId="13"/>
  </si>
  <si>
    <t>色</t>
    <rPh sb="0" eb="1">
      <t>イロ</t>
    </rPh>
    <phoneticPr fontId="13"/>
  </si>
  <si>
    <r>
      <t>は、</t>
    </r>
    <r>
      <rPr>
        <b/>
        <sz val="11"/>
        <rFont val="ＭＳ Ｐゴシック"/>
        <family val="3"/>
        <charset val="128"/>
      </rPr>
      <t>GK</t>
    </r>
    <r>
      <rPr>
        <sz val="11"/>
        <rFont val="ＭＳ Ｐゴシック"/>
        <family val="3"/>
        <charset val="128"/>
      </rPr>
      <t>の情報です。   変化するたびに記入します。</t>
    </r>
    <rPh sb="5" eb="7">
      <t>ジョウホウ</t>
    </rPh>
    <rPh sb="13" eb="15">
      <t>ヘンカ</t>
    </rPh>
    <rPh sb="20" eb="22">
      <t>キニュウ</t>
    </rPh>
    <phoneticPr fontId="13"/>
  </si>
  <si>
    <r>
      <t>15</t>
    </r>
    <r>
      <rPr>
        <b/>
        <sz val="9"/>
        <color indexed="30"/>
        <rFont val="ＭＳ Ｐ明朝"/>
        <family val="1"/>
        <charset val="128"/>
      </rPr>
      <t>：</t>
    </r>
    <r>
      <rPr>
        <b/>
        <sz val="9"/>
        <color indexed="30"/>
        <rFont val="Times New Roman"/>
        <family val="1"/>
      </rPr>
      <t>00</t>
    </r>
    <phoneticPr fontId="13"/>
  </si>
  <si>
    <r>
      <t>は、</t>
    </r>
    <r>
      <rPr>
        <b/>
        <sz val="11"/>
        <rFont val="ＭＳ Ｐゴシック"/>
        <family val="3"/>
        <charset val="128"/>
      </rPr>
      <t>得点時</t>
    </r>
    <r>
      <rPr>
        <sz val="11"/>
        <rFont val="ＭＳ Ｐゴシック"/>
        <family val="3"/>
        <charset val="128"/>
      </rPr>
      <t>の情報です。　　</t>
    </r>
    <r>
      <rPr>
        <b/>
        <sz val="11"/>
        <rFont val="ＭＳ Ｐゴシック"/>
        <family val="3"/>
        <charset val="128"/>
      </rPr>
      <t>＃</t>
    </r>
    <r>
      <rPr>
        <sz val="11"/>
        <rFont val="ＭＳ Ｐゴシック"/>
        <family val="3"/>
        <charset val="128"/>
      </rPr>
      <t>の①②③・・があると見つけ易いです。</t>
    </r>
    <rPh sb="2" eb="4">
      <t>トクテン</t>
    </rPh>
    <rPh sb="4" eb="5">
      <t>ジ</t>
    </rPh>
    <rPh sb="6" eb="8">
      <t>ジョウホウ</t>
    </rPh>
    <rPh sb="24" eb="25">
      <t>ミ</t>
    </rPh>
    <rPh sb="27" eb="28">
      <t>ヤス</t>
    </rPh>
    <phoneticPr fontId="13"/>
  </si>
  <si>
    <t>5</t>
    <phoneticPr fontId="13"/>
  </si>
  <si>
    <t>13</t>
    <phoneticPr fontId="13"/>
  </si>
  <si>
    <t>-</t>
    <phoneticPr fontId="13"/>
  </si>
  <si>
    <t>①</t>
    <phoneticPr fontId="13"/>
  </si>
  <si>
    <t>EQ</t>
    <phoneticPr fontId="13"/>
  </si>
  <si>
    <t>23</t>
    <phoneticPr fontId="13"/>
  </si>
  <si>
    <t>2</t>
    <phoneticPr fontId="13"/>
  </si>
  <si>
    <t>HOLD</t>
    <phoneticPr fontId="13"/>
  </si>
  <si>
    <r>
      <t>は、</t>
    </r>
    <r>
      <rPr>
        <b/>
        <sz val="11"/>
        <rFont val="ＭＳ Ｐゴシック"/>
        <family val="3"/>
        <charset val="128"/>
      </rPr>
      <t>反則時</t>
    </r>
    <r>
      <rPr>
        <sz val="11"/>
        <rFont val="ＭＳ Ｐゴシック"/>
        <family val="3"/>
        <charset val="128"/>
      </rPr>
      <t>の情報です。　</t>
    </r>
    <r>
      <rPr>
        <b/>
        <sz val="11"/>
        <rFont val="ＭＳ Ｐゴシック"/>
        <family val="3"/>
        <charset val="128"/>
      </rPr>
      <t>TRIP</t>
    </r>
    <r>
      <rPr>
        <sz val="11"/>
        <rFont val="ＭＳ Ｐゴシック"/>
        <family val="3"/>
        <charset val="128"/>
      </rPr>
      <t>など反則名があると見つけ易いです。</t>
    </r>
    <rPh sb="2" eb="4">
      <t>ハンソク</t>
    </rPh>
    <rPh sb="4" eb="5">
      <t>ジ</t>
    </rPh>
    <rPh sb="6" eb="8">
      <t>ジョウホウ</t>
    </rPh>
    <rPh sb="18" eb="20">
      <t>ハンソク</t>
    </rPh>
    <rPh sb="20" eb="21">
      <t>ナ</t>
    </rPh>
    <rPh sb="25" eb="26">
      <t>ミ</t>
    </rPh>
    <rPh sb="28" eb="29">
      <t>ヤス</t>
    </rPh>
    <phoneticPr fontId="13"/>
  </si>
  <si>
    <t>25</t>
    <phoneticPr fontId="13"/>
  </si>
  <si>
    <t>TRIP</t>
    <phoneticPr fontId="13"/>
  </si>
  <si>
    <t>16</t>
    <phoneticPr fontId="13"/>
  </si>
  <si>
    <t>＋１</t>
    <phoneticPr fontId="13"/>
  </si>
  <si>
    <r>
      <t>真ん中の</t>
    </r>
    <r>
      <rPr>
        <b/>
        <sz val="11"/>
        <rFont val="ＭＳ Ｐゴシック"/>
        <family val="3"/>
        <charset val="128"/>
      </rPr>
      <t>Time</t>
    </r>
    <r>
      <rPr>
        <sz val="11"/>
        <rFont val="ＭＳ Ｐゴシック"/>
        <family val="3"/>
        <charset val="128"/>
      </rPr>
      <t>が試合開始から終了までの</t>
    </r>
    <r>
      <rPr>
        <b/>
        <sz val="11"/>
        <rFont val="ＭＳ Ｐゴシック"/>
        <family val="3"/>
        <charset val="128"/>
      </rPr>
      <t>時系列</t>
    </r>
    <r>
      <rPr>
        <sz val="11"/>
        <rFont val="ＭＳ Ｐゴシック"/>
        <family val="3"/>
        <charset val="128"/>
      </rPr>
      <t>の情報です。</t>
    </r>
    <rPh sb="0" eb="1">
      <t>マ</t>
    </rPh>
    <rPh sb="2" eb="3">
      <t>ナカ</t>
    </rPh>
    <rPh sb="9" eb="11">
      <t>シアイ</t>
    </rPh>
    <rPh sb="11" eb="13">
      <t>カイシ</t>
    </rPh>
    <rPh sb="15" eb="17">
      <t>シュウリョウ</t>
    </rPh>
    <rPh sb="20" eb="23">
      <t>ジケイレツ</t>
    </rPh>
    <rPh sb="24" eb="26">
      <t>ジョウホウ</t>
    </rPh>
    <phoneticPr fontId="13"/>
  </si>
  <si>
    <t>14</t>
    <phoneticPr fontId="13"/>
  </si>
  <si>
    <t>INTRF</t>
    <phoneticPr fontId="13"/>
  </si>
  <si>
    <t>18</t>
    <phoneticPr fontId="13"/>
  </si>
  <si>
    <t>ROUGH</t>
    <phoneticPr fontId="13"/>
  </si>
  <si>
    <t>19</t>
    <phoneticPr fontId="13"/>
  </si>
  <si>
    <t>6</t>
    <phoneticPr fontId="13"/>
  </si>
  <si>
    <t>②</t>
    <phoneticPr fontId="13"/>
  </si>
  <si>
    <t>3</t>
    <phoneticPr fontId="13"/>
  </si>
  <si>
    <t>HOOK</t>
    <phoneticPr fontId="13"/>
  </si>
  <si>
    <t>③</t>
    <phoneticPr fontId="13"/>
  </si>
  <si>
    <t>20</t>
    <phoneticPr fontId="13"/>
  </si>
  <si>
    <t>CHE-B</t>
    <phoneticPr fontId="13"/>
  </si>
  <si>
    <t>10</t>
    <phoneticPr fontId="13"/>
  </si>
  <si>
    <t>MISC</t>
    <phoneticPr fontId="13"/>
  </si>
  <si>
    <t>15</t>
    <phoneticPr fontId="13"/>
  </si>
  <si>
    <t>ROUGH</t>
  </si>
  <si>
    <t>12</t>
    <phoneticPr fontId="13"/>
  </si>
  <si>
    <t>26</t>
    <phoneticPr fontId="13"/>
  </si>
  <si>
    <t>28</t>
    <phoneticPr fontId="13"/>
  </si>
  <si>
    <t>④</t>
    <phoneticPr fontId="13"/>
  </si>
  <si>
    <t>33</t>
    <phoneticPr fontId="13"/>
  </si>
  <si>
    <t>⑤</t>
    <phoneticPr fontId="13"/>
  </si>
  <si>
    <t>EN</t>
    <phoneticPr fontId="13"/>
  </si>
  <si>
    <t>　　GKのチーム名</t>
    <rPh sb="8" eb="9">
      <t>ナ</t>
    </rPh>
    <phoneticPr fontId="13"/>
  </si>
  <si>
    <t>目の前にいるGKのセーブ数を数える</t>
    <rPh sb="0" eb="1">
      <t>メ</t>
    </rPh>
    <rPh sb="2" eb="3">
      <t>マエ</t>
    </rPh>
    <rPh sb="12" eb="13">
      <t>スウ</t>
    </rPh>
    <rPh sb="14" eb="15">
      <t>カゾ</t>
    </rPh>
    <phoneticPr fontId="13"/>
  </si>
  <si>
    <t>Ｐ</t>
    <phoneticPr fontId="13"/>
  </si>
  <si>
    <t>No.</t>
    <phoneticPr fontId="13"/>
  </si>
  <si>
    <t>セーブ数</t>
    <rPh sb="3" eb="4">
      <t>スウ</t>
    </rPh>
    <phoneticPr fontId="13"/>
  </si>
  <si>
    <t>失点</t>
    <rPh sb="0" eb="2">
      <t>シッテン</t>
    </rPh>
    <phoneticPr fontId="13"/>
  </si>
  <si>
    <t>相手チームシュート数</t>
    <rPh sb="0" eb="2">
      <t>アイテ</t>
    </rPh>
    <rPh sb="9" eb="10">
      <t>スウ</t>
    </rPh>
    <phoneticPr fontId="13"/>
  </si>
  <si>
    <t>１Ｐ</t>
    <phoneticPr fontId="13"/>
  </si>
  <si>
    <t>２Ｐ</t>
    <phoneticPr fontId="13"/>
  </si>
  <si>
    <t>３Ｐ</t>
    <phoneticPr fontId="13"/>
  </si>
  <si>
    <t>ＯＴ</t>
    <phoneticPr fontId="13"/>
  </si>
  <si>
    <t>合計</t>
    <rPh sb="0" eb="2">
      <t>ゴウケイ</t>
    </rPh>
    <phoneticPr fontId="13"/>
  </si>
  <si>
    <t>印刷して用紙を半分に切り離して、ＧＪが使用して下さい。　　　　　　　　　　　　　　　ピリオド毎に用紙を交換して１チームを追っかけて下さい。</t>
    <rPh sb="0" eb="2">
      <t>インサツ</t>
    </rPh>
    <rPh sb="4" eb="6">
      <t>ヨウシ</t>
    </rPh>
    <rPh sb="7" eb="9">
      <t>ハンブン</t>
    </rPh>
    <rPh sb="10" eb="11">
      <t>キ</t>
    </rPh>
    <rPh sb="12" eb="13">
      <t>ハナ</t>
    </rPh>
    <rPh sb="19" eb="21">
      <t>シヨウ</t>
    </rPh>
    <rPh sb="23" eb="24">
      <t>クダ</t>
    </rPh>
    <rPh sb="46" eb="47">
      <t>ゴト</t>
    </rPh>
    <rPh sb="48" eb="50">
      <t>ヨウシ</t>
    </rPh>
    <rPh sb="51" eb="53">
      <t>コウカン</t>
    </rPh>
    <rPh sb="60" eb="61">
      <t>オ</t>
    </rPh>
    <rPh sb="65" eb="66">
      <t>クダ</t>
    </rPh>
    <phoneticPr fontId="13"/>
  </si>
  <si>
    <t>5－1</t>
    <phoneticPr fontId="13"/>
  </si>
  <si>
    <r>
      <t>　　Ａチーム名　　　　　</t>
    </r>
    <r>
      <rPr>
        <sz val="24"/>
        <color indexed="8"/>
        <rFont val="ＭＳ Ｐゴシック"/>
        <family val="3"/>
        <charset val="128"/>
      </rPr>
      <t>神奈川レッドスターズ</t>
    </r>
    <rPh sb="6" eb="7">
      <t>ナ</t>
    </rPh>
    <rPh sb="12" eb="15">
      <t>カナガワ</t>
    </rPh>
    <phoneticPr fontId="13"/>
  </si>
  <si>
    <r>
      <t>　　Ｂチーム名　　　</t>
    </r>
    <r>
      <rPr>
        <sz val="24"/>
        <color indexed="8"/>
        <rFont val="ＭＳ Ｐゴシック"/>
        <family val="3"/>
        <charset val="128"/>
      </rPr>
      <t>新横浜ブルーインパルス</t>
    </r>
    <rPh sb="6" eb="7">
      <t>ナ</t>
    </rPh>
    <rPh sb="10" eb="13">
      <t>シンヨコハマ</t>
    </rPh>
    <phoneticPr fontId="13"/>
  </si>
  <si>
    <t>ー</t>
    <phoneticPr fontId="13"/>
  </si>
  <si>
    <t>OFFICIAL GAME SHEET</t>
  </si>
  <si>
    <t>230204</t>
    <phoneticPr fontId="2"/>
  </si>
  <si>
    <t>KANAGAWA ICE HOCKEY FEDERATION</t>
    <phoneticPr fontId="2"/>
  </si>
  <si>
    <t>K.I.H.F</t>
    <phoneticPr fontId="2"/>
  </si>
  <si>
    <t>Event:</t>
    <phoneticPr fontId="2"/>
  </si>
  <si>
    <t>第73回神奈川県アイスホッケー選手権</t>
  </si>
  <si>
    <t>Venue:</t>
    <phoneticPr fontId="2"/>
  </si>
  <si>
    <t>横浜銀行アイスアリーナ</t>
    <rPh sb="0" eb="4">
      <t>ヨコハマギンコウ</t>
    </rPh>
    <phoneticPr fontId="13"/>
  </si>
  <si>
    <t>Date:</t>
    <phoneticPr fontId="2"/>
  </si>
  <si>
    <t>Start:</t>
    <phoneticPr fontId="2"/>
  </si>
  <si>
    <t>Spectators:</t>
    <phoneticPr fontId="2"/>
  </si>
  <si>
    <t>-</t>
    <phoneticPr fontId="2"/>
  </si>
  <si>
    <t>Game No.:</t>
    <phoneticPr fontId="2"/>
  </si>
  <si>
    <t>1500</t>
  </si>
  <si>
    <t>Home Team (A)</t>
  </si>
  <si>
    <t>Goals</t>
  </si>
  <si>
    <t>Penalty Shot Shootout</t>
    <phoneticPr fontId="2"/>
  </si>
  <si>
    <t>Penalties</t>
  </si>
  <si>
    <t>Family and Given Name</t>
    <phoneticPr fontId="2"/>
  </si>
  <si>
    <t>(+BP+C/A)</t>
    <phoneticPr fontId="2"/>
  </si>
  <si>
    <t>Pos</t>
  </si>
  <si>
    <t>#</t>
  </si>
  <si>
    <t>Time</t>
  </si>
  <si>
    <t>G</t>
  </si>
  <si>
    <t>A1</t>
  </si>
  <si>
    <t>A2</t>
  </si>
  <si>
    <t>GS</t>
  </si>
  <si>
    <t>A</t>
    <phoneticPr fontId="2"/>
  </si>
  <si>
    <t>B</t>
    <phoneticPr fontId="2"/>
  </si>
  <si>
    <t>GKA</t>
  </si>
  <si>
    <t>GKB</t>
  </si>
  <si>
    <t>GF:GA</t>
  </si>
  <si>
    <t>No.</t>
    <phoneticPr fontId="2"/>
  </si>
  <si>
    <t>Offence</t>
  </si>
  <si>
    <t>End</t>
  </si>
  <si>
    <t>Team official in bench</t>
    <phoneticPr fontId="2"/>
  </si>
  <si>
    <t>Visiting Team (B)</t>
  </si>
  <si>
    <t>Penalties</t>
    <phoneticPr fontId="2"/>
  </si>
  <si>
    <t>Game Summary</t>
  </si>
  <si>
    <t>Saves</t>
  </si>
  <si>
    <t>Goaltender Records</t>
    <phoneticPr fontId="2"/>
  </si>
  <si>
    <t>Goaltenders Changes</t>
    <phoneticPr fontId="2"/>
  </si>
  <si>
    <t>Period</t>
  </si>
  <si>
    <t>G A:B</t>
  </si>
  <si>
    <t>SOG A:B</t>
  </si>
  <si>
    <t>PIM A:B</t>
  </si>
  <si>
    <t>PPGF A:B</t>
  </si>
  <si>
    <t>SHGF A:B</t>
  </si>
  <si>
    <t>GKA1</t>
  </si>
  <si>
    <t>GKA2</t>
  </si>
  <si>
    <t>GKB1</t>
  </si>
  <si>
    <t>GKB2</t>
  </si>
  <si>
    <t>MIP</t>
  </si>
  <si>
    <t>GA</t>
  </si>
  <si>
    <t>:</t>
    <phoneticPr fontId="2"/>
  </si>
  <si>
    <t>0</t>
    <phoneticPr fontId="2"/>
  </si>
  <si>
    <t>Start of game:</t>
  </si>
  <si>
    <t>End of game:</t>
  </si>
  <si>
    <t>OVT</t>
  </si>
  <si>
    <t>:</t>
  </si>
  <si>
    <t>Timeout A:</t>
  </si>
  <si>
    <t>Timeout B:</t>
  </si>
  <si>
    <t>PSS</t>
    <phoneticPr fontId="2"/>
  </si>
  <si>
    <t>Game Supervisor :</t>
    <phoneticPr fontId="2"/>
  </si>
  <si>
    <t>TOTAL</t>
  </si>
  <si>
    <t>Referee Supervisor :</t>
    <phoneticPr fontId="2"/>
  </si>
  <si>
    <t>Head Coaches and Off-Ice Officials</t>
    <phoneticPr fontId="2"/>
  </si>
  <si>
    <t>Head Coach A:</t>
    <phoneticPr fontId="2"/>
  </si>
  <si>
    <t>Goal Judge:</t>
    <phoneticPr fontId="2"/>
  </si>
  <si>
    <t>Linesperson:</t>
    <phoneticPr fontId="2"/>
  </si>
  <si>
    <t>Head Coach B:</t>
    <phoneticPr fontId="2"/>
  </si>
  <si>
    <t>Referee:</t>
    <phoneticPr fontId="2"/>
  </si>
  <si>
    <t>Official Team</t>
    <phoneticPr fontId="2"/>
  </si>
  <si>
    <t>Penalty Bench Attendant:</t>
    <phoneticPr fontId="2"/>
  </si>
  <si>
    <t>Sign. Referee:</t>
    <phoneticPr fontId="2"/>
  </si>
  <si>
    <t>Timekeeper:</t>
    <phoneticPr fontId="2"/>
  </si>
  <si>
    <t>Announcer:</t>
    <phoneticPr fontId="2"/>
  </si>
  <si>
    <t>Scorekeeper:</t>
    <phoneticPr fontId="2"/>
  </si>
  <si>
    <t>Notes</t>
  </si>
  <si>
    <r>
      <rPr>
        <sz val="7"/>
        <color indexed="10"/>
        <rFont val="Arial"/>
        <family val="2"/>
      </rPr>
      <t>*</t>
    </r>
    <r>
      <rPr>
        <sz val="7"/>
        <rFont val="Arial"/>
        <family val="2"/>
      </rPr>
      <t>A</t>
    </r>
    <phoneticPr fontId="2"/>
  </si>
  <si>
    <r>
      <rPr>
        <sz val="10"/>
        <rFont val="ＭＳ Ｐゴシック"/>
        <family val="3"/>
        <charset val="128"/>
      </rPr>
      <t>１</t>
    </r>
    <r>
      <rPr>
        <sz val="10"/>
        <rFont val="Arial"/>
        <family val="2"/>
      </rPr>
      <t>:</t>
    </r>
    <phoneticPr fontId="2"/>
  </si>
  <si>
    <t>←</t>
    <phoneticPr fontId="2"/>
  </si>
  <si>
    <t>Team Aの一人目 #9 成功 (Team B のゴールテンダー は　#31)</t>
    <rPh sb="7" eb="9">
      <t>ヒトリ</t>
    </rPh>
    <rPh sb="9" eb="10">
      <t>メ</t>
    </rPh>
    <rPh sb="14" eb="16">
      <t>セイコウ</t>
    </rPh>
    <phoneticPr fontId="2"/>
  </si>
  <si>
    <t>先攻Team の左側にアスタリスクを付ける</t>
    <rPh sb="0" eb="2">
      <t>センコウ</t>
    </rPh>
    <rPh sb="8" eb="10">
      <t>ヒダリガワ</t>
    </rPh>
    <rPh sb="18" eb="19">
      <t>ツ</t>
    </rPh>
    <phoneticPr fontId="2"/>
  </si>
  <si>
    <t>*A</t>
    <phoneticPr fontId="2"/>
  </si>
  <si>
    <t>1:1</t>
    <phoneticPr fontId="2"/>
  </si>
  <si>
    <t>Team Bの一人目成功 (Team Aのゴールテンダーは #1)</t>
    <rPh sb="7" eb="9">
      <t>ヒトリ</t>
    </rPh>
    <rPh sb="9" eb="10">
      <t>メ</t>
    </rPh>
    <rPh sb="10" eb="12">
      <t>セイコウ</t>
    </rPh>
    <phoneticPr fontId="2"/>
  </si>
  <si>
    <t>2:</t>
    <phoneticPr fontId="2"/>
  </si>
  <si>
    <t>Team A の2人目成功</t>
    <rPh sb="9" eb="10">
      <t>ニン</t>
    </rPh>
    <rPh sb="10" eb="11">
      <t>メ</t>
    </rPh>
    <rPh sb="11" eb="13">
      <t>セイコウ</t>
    </rPh>
    <phoneticPr fontId="2"/>
  </si>
  <si>
    <t>PSSの場合の得点記入方法</t>
    <rPh sb="4" eb="6">
      <t>バアイ</t>
    </rPh>
    <rPh sb="7" eb="9">
      <t>トクテン</t>
    </rPh>
    <rPh sb="9" eb="11">
      <t>キニュウ</t>
    </rPh>
    <rPh sb="11" eb="13">
      <t>ホウホウ</t>
    </rPh>
    <phoneticPr fontId="2"/>
  </si>
  <si>
    <t>→</t>
    <phoneticPr fontId="2"/>
  </si>
  <si>
    <t>GWG</t>
    <phoneticPr fontId="2"/>
  </si>
  <si>
    <t>PS</t>
    <phoneticPr fontId="2"/>
  </si>
  <si>
    <t>2:1</t>
    <phoneticPr fontId="2"/>
  </si>
  <si>
    <t>Team B　の2人目失敗</t>
    <rPh sb="9" eb="10">
      <t>ニン</t>
    </rPh>
    <rPh sb="10" eb="11">
      <t>メ</t>
    </rPh>
    <rPh sb="11" eb="13">
      <t>シッパイ</t>
    </rPh>
    <phoneticPr fontId="2"/>
  </si>
  <si>
    <t>注：</t>
    <rPh sb="0" eb="1">
      <t>チュウ</t>
    </rPh>
    <phoneticPr fontId="2"/>
  </si>
  <si>
    <t>PSSにて勝敗を決した場合、ゴールテンダーの失点を追加する必要があります。（自動計算：要注意）</t>
    <rPh sb="5" eb="7">
      <t>ショウハイ</t>
    </rPh>
    <rPh sb="8" eb="9">
      <t>ケッ</t>
    </rPh>
    <rPh sb="11" eb="13">
      <t>バアイ</t>
    </rPh>
    <rPh sb="22" eb="24">
      <t>シッテン</t>
    </rPh>
    <rPh sb="25" eb="27">
      <t>ツイカ</t>
    </rPh>
    <rPh sb="29" eb="31">
      <t>ヒツヨウ</t>
    </rPh>
    <rPh sb="38" eb="40">
      <t>ジドウ</t>
    </rPh>
    <rPh sb="40" eb="42">
      <t>ケイサン</t>
    </rPh>
    <rPh sb="43" eb="46">
      <t>ヨウチュウイ</t>
    </rPh>
    <phoneticPr fontId="2"/>
  </si>
  <si>
    <r>
      <t>Team (B)</t>
    </r>
    <r>
      <rPr>
        <sz val="8"/>
        <color indexed="10"/>
        <rFont val="ＭＳ Ｐゴシック"/>
        <family val="3"/>
        <charset val="128"/>
      </rPr>
      <t>＊</t>
    </r>
    <phoneticPr fontId="2"/>
  </si>
  <si>
    <t>JOKERS'99</t>
  </si>
  <si>
    <t>パックトスによりホームを決めた場合：　</t>
    <rPh sb="12" eb="13">
      <t>キ</t>
    </rPh>
    <rPh sb="15" eb="17">
      <t>バアイ</t>
    </rPh>
    <phoneticPr fontId="2"/>
  </si>
  <si>
    <t>必須項目</t>
    <rPh sb="0" eb="4">
      <t>ヒッスコウモク</t>
    </rPh>
    <phoneticPr fontId="2"/>
  </si>
  <si>
    <t>Team(B)の右側にアスタリスクを入れる　Team(A)の場合も同様。</t>
    <rPh sb="33" eb="35">
      <t>ドウヨウ</t>
    </rPh>
    <phoneticPr fontId="2"/>
  </si>
  <si>
    <t>試合終了時の処理後にGoaltenders Changesのデータを追加する場合は以下の手順に従ってください</t>
    <rPh sb="0" eb="2">
      <t>シアイ</t>
    </rPh>
    <rPh sb="2" eb="4">
      <t>シュウリョウ</t>
    </rPh>
    <rPh sb="4" eb="5">
      <t>ジ</t>
    </rPh>
    <rPh sb="6" eb="8">
      <t>ショリ</t>
    </rPh>
    <rPh sb="8" eb="9">
      <t>ゴ</t>
    </rPh>
    <rPh sb="34" eb="36">
      <t>ツイカ</t>
    </rPh>
    <rPh sb="38" eb="40">
      <t>バアイ</t>
    </rPh>
    <rPh sb="41" eb="43">
      <t>イカ</t>
    </rPh>
    <rPh sb="44" eb="46">
      <t>テジュン</t>
    </rPh>
    <rPh sb="47" eb="48">
      <t>シタガ</t>
    </rPh>
    <phoneticPr fontId="2"/>
  </si>
  <si>
    <t>誤ったデータ</t>
    <rPh sb="0" eb="1">
      <t>アヤマ</t>
    </rPh>
    <phoneticPr fontId="2"/>
  </si>
  <si>
    <t>45:00 以下の行と列をクリアする</t>
    <rPh sb="6" eb="8">
      <t>イカ</t>
    </rPh>
    <rPh sb="9" eb="10">
      <t>ギョウ</t>
    </rPh>
    <rPh sb="11" eb="12">
      <t>レツ</t>
    </rPh>
    <phoneticPr fontId="2"/>
  </si>
  <si>
    <t>再度正しい時間を入力する</t>
    <rPh sb="0" eb="2">
      <t>サイド</t>
    </rPh>
    <rPh sb="2" eb="3">
      <t>タダ</t>
    </rPh>
    <rPh sb="5" eb="7">
      <t>ジカン</t>
    </rPh>
    <rPh sb="8" eb="10">
      <t>ニュウリョク</t>
    </rPh>
    <phoneticPr fontId="2"/>
  </si>
  <si>
    <t>Goaltender Records</t>
    <phoneticPr fontId="13"/>
  </si>
  <si>
    <t>PSS</t>
    <phoneticPr fontId="13"/>
  </si>
  <si>
    <t>=IF(GameSheet!AP63="","",GameSheet!AP63)</t>
    <phoneticPr fontId="13"/>
  </si>
  <si>
    <t>=IF(GameSheet!AJ63="","",GameSheet!AJ64)</t>
  </si>
  <si>
    <t>=IF(GameSheet!AP63="","",GameSheet!AP64)</t>
  </si>
  <si>
    <t>Penalty Timekeeper:</t>
    <phoneticPr fontId="2"/>
  </si>
  <si>
    <r>
      <t>2</t>
    </r>
    <r>
      <rPr>
        <sz val="8"/>
        <rFont val="ＭＳ Ｐゴシック"/>
        <family val="3"/>
        <charset val="128"/>
      </rPr>
      <t>枚目です。</t>
    </r>
    <rPh sb="1" eb="3">
      <t>マイメ</t>
    </rPh>
    <phoneticPr fontId="13"/>
  </si>
  <si>
    <r>
      <t>チームＡ入力　　　　　　　　　　　　　　</t>
    </r>
    <r>
      <rPr>
        <b/>
        <sz val="16"/>
        <rFont val="ＭＳ Ｐゴシック"/>
        <family val="3"/>
        <charset val="128"/>
      </rPr>
      <t xml:space="preserve">       </t>
    </r>
    <r>
      <rPr>
        <b/>
        <sz val="10"/>
        <rFont val="ＭＳ Ｐゴシック"/>
        <family val="3"/>
        <charset val="128"/>
      </rPr>
      <t>H列の登録番号をB列に入力すると選手名をＤ列に代入します</t>
    </r>
    <r>
      <rPr>
        <b/>
        <sz val="16"/>
        <rFont val="HG丸ｺﾞｼｯｸM-PRO"/>
        <family val="3"/>
        <charset val="128"/>
      </rPr>
      <t>　　　　　　</t>
    </r>
    <rPh sb="4" eb="6">
      <t>ニュウリョク</t>
    </rPh>
    <rPh sb="28" eb="29">
      <t>レツ</t>
    </rPh>
    <rPh sb="30" eb="32">
      <t>トウロク</t>
    </rPh>
    <rPh sb="32" eb="34">
      <t>バンゴウ</t>
    </rPh>
    <rPh sb="36" eb="37">
      <t>レツ</t>
    </rPh>
    <rPh sb="38" eb="40">
      <t>ニュウリョク</t>
    </rPh>
    <rPh sb="43" eb="46">
      <t>センシュメイ</t>
    </rPh>
    <rPh sb="48" eb="49">
      <t>レツ</t>
    </rPh>
    <rPh sb="50" eb="52">
      <t>ダイニュウ</t>
    </rPh>
    <phoneticPr fontId="13"/>
  </si>
  <si>
    <t>背番号による</t>
    <rPh sb="0" eb="3">
      <t>セバンゴウ</t>
    </rPh>
    <phoneticPr fontId="2"/>
  </si>
  <si>
    <t>登録番号による</t>
    <rPh sb="0" eb="2">
      <t>トウロク</t>
    </rPh>
    <rPh sb="2" eb="4">
      <t>バンゴウ</t>
    </rPh>
    <phoneticPr fontId="2"/>
  </si>
  <si>
    <t>登録番号</t>
    <rPh sb="0" eb="2">
      <t>トウロク</t>
    </rPh>
    <rPh sb="2" eb="4">
      <t>バンゴウ</t>
    </rPh>
    <phoneticPr fontId="13"/>
  </si>
  <si>
    <t>背番号</t>
    <rPh sb="0" eb="3">
      <t>セバンゴウ</t>
    </rPh>
    <phoneticPr fontId="13"/>
  </si>
  <si>
    <t>出場者氏名</t>
    <rPh sb="0" eb="3">
      <t>シュツジョウシャ</t>
    </rPh>
    <rPh sb="3" eb="5">
      <t>シメイ</t>
    </rPh>
    <phoneticPr fontId="13"/>
  </si>
  <si>
    <t>(C/A)</t>
    <phoneticPr fontId="13"/>
  </si>
  <si>
    <t>Pos</t>
    <phoneticPr fontId="13"/>
  </si>
  <si>
    <t>登録者氏名</t>
    <rPh sb="0" eb="3">
      <t>トウロクシャ</t>
    </rPh>
    <rPh sb="3" eb="5">
      <t>シメイ</t>
    </rPh>
    <phoneticPr fontId="13"/>
  </si>
  <si>
    <t>Status</t>
    <phoneticPr fontId="13"/>
  </si>
  <si>
    <t>POS</t>
    <phoneticPr fontId="13"/>
  </si>
  <si>
    <t>#</t>
    <phoneticPr fontId="13"/>
  </si>
  <si>
    <r>
      <t>C</t>
    </r>
    <r>
      <rPr>
        <sz val="11"/>
        <rFont val="ＭＳ Ｐゴシック"/>
        <family val="3"/>
        <charset val="128"/>
      </rPr>
      <t>/A</t>
    </r>
    <phoneticPr fontId="13"/>
  </si>
  <si>
    <t>G</t>
    <phoneticPr fontId="2"/>
  </si>
  <si>
    <t>GK1-&gt;</t>
    <phoneticPr fontId="13"/>
  </si>
  <si>
    <t>1</t>
    <phoneticPr fontId="13"/>
  </si>
  <si>
    <t>役員のみ</t>
  </si>
  <si>
    <t>GK2-&gt;</t>
    <phoneticPr fontId="13"/>
  </si>
  <si>
    <t>4</t>
    <phoneticPr fontId="13"/>
  </si>
  <si>
    <t>選手・役員</t>
  </si>
  <si>
    <t>7</t>
    <phoneticPr fontId="13"/>
  </si>
  <si>
    <t>8</t>
    <phoneticPr fontId="13"/>
  </si>
  <si>
    <t>9</t>
    <phoneticPr fontId="13"/>
  </si>
  <si>
    <t>11</t>
    <phoneticPr fontId="13"/>
  </si>
  <si>
    <t>17</t>
    <phoneticPr fontId="13"/>
  </si>
  <si>
    <t>21</t>
    <phoneticPr fontId="13"/>
  </si>
  <si>
    <t>22</t>
    <phoneticPr fontId="13"/>
  </si>
  <si>
    <t>監督</t>
    <rPh sb="0" eb="2">
      <t>カントク</t>
    </rPh>
    <phoneticPr fontId="13"/>
  </si>
  <si>
    <t>ベンチ役員</t>
    <rPh sb="3" eb="5">
      <t>ヤクイン</t>
    </rPh>
    <phoneticPr fontId="13"/>
  </si>
  <si>
    <t>24</t>
    <phoneticPr fontId="13"/>
  </si>
  <si>
    <t>12/25追加</t>
  </si>
  <si>
    <t>27</t>
    <phoneticPr fontId="13"/>
  </si>
  <si>
    <t>29</t>
    <phoneticPr fontId="13"/>
  </si>
  <si>
    <t>30</t>
    <phoneticPr fontId="13"/>
  </si>
  <si>
    <t>12/25追加</t>
    <phoneticPr fontId="2"/>
  </si>
  <si>
    <t>31</t>
    <phoneticPr fontId="13"/>
  </si>
  <si>
    <t>32</t>
    <phoneticPr fontId="13"/>
  </si>
  <si>
    <t>34</t>
    <phoneticPr fontId="13"/>
  </si>
  <si>
    <t>35</t>
    <phoneticPr fontId="13"/>
  </si>
  <si>
    <t>36</t>
    <phoneticPr fontId="13"/>
  </si>
  <si>
    <t>37</t>
    <phoneticPr fontId="13"/>
  </si>
  <si>
    <t>38</t>
    <phoneticPr fontId="13"/>
  </si>
  <si>
    <t>39</t>
    <phoneticPr fontId="13"/>
  </si>
  <si>
    <t>40</t>
    <phoneticPr fontId="13"/>
  </si>
  <si>
    <t>41</t>
    <phoneticPr fontId="13"/>
  </si>
  <si>
    <t>42</t>
    <phoneticPr fontId="13"/>
  </si>
  <si>
    <t>43</t>
    <phoneticPr fontId="13"/>
  </si>
  <si>
    <t>44</t>
    <phoneticPr fontId="13"/>
  </si>
  <si>
    <t>45</t>
    <phoneticPr fontId="13"/>
  </si>
  <si>
    <t>46</t>
    <phoneticPr fontId="13"/>
  </si>
  <si>
    <t>47</t>
    <phoneticPr fontId="13"/>
  </si>
  <si>
    <t>48</t>
    <phoneticPr fontId="13"/>
  </si>
  <si>
    <t>49</t>
    <phoneticPr fontId="13"/>
  </si>
  <si>
    <t>50</t>
    <phoneticPr fontId="13"/>
  </si>
  <si>
    <t>51</t>
    <phoneticPr fontId="13"/>
  </si>
  <si>
    <t>52</t>
    <phoneticPr fontId="13"/>
  </si>
  <si>
    <t>53</t>
    <phoneticPr fontId="13"/>
  </si>
  <si>
    <t>54</t>
    <phoneticPr fontId="13"/>
  </si>
  <si>
    <t>55</t>
    <phoneticPr fontId="13"/>
  </si>
  <si>
    <t>56</t>
    <phoneticPr fontId="13"/>
  </si>
  <si>
    <t>57</t>
    <phoneticPr fontId="13"/>
  </si>
  <si>
    <t>58</t>
    <phoneticPr fontId="13"/>
  </si>
  <si>
    <t>59</t>
    <phoneticPr fontId="13"/>
  </si>
  <si>
    <t>60</t>
    <phoneticPr fontId="13"/>
  </si>
  <si>
    <t>61</t>
    <phoneticPr fontId="13"/>
  </si>
  <si>
    <t>62</t>
    <phoneticPr fontId="13"/>
  </si>
  <si>
    <t>63</t>
    <phoneticPr fontId="13"/>
  </si>
  <si>
    <t>64</t>
    <phoneticPr fontId="13"/>
  </si>
  <si>
    <t>65</t>
    <phoneticPr fontId="13"/>
  </si>
  <si>
    <t>66</t>
    <phoneticPr fontId="13"/>
  </si>
  <si>
    <t>67</t>
    <phoneticPr fontId="13"/>
  </si>
  <si>
    <t>68</t>
    <phoneticPr fontId="13"/>
  </si>
  <si>
    <t>69</t>
    <phoneticPr fontId="13"/>
  </si>
  <si>
    <t>70</t>
    <phoneticPr fontId="13"/>
  </si>
  <si>
    <t>71</t>
    <phoneticPr fontId="13"/>
  </si>
  <si>
    <t>72</t>
    <phoneticPr fontId="13"/>
  </si>
  <si>
    <t>73</t>
    <phoneticPr fontId="13"/>
  </si>
  <si>
    <t>74</t>
    <phoneticPr fontId="13"/>
  </si>
  <si>
    <t>75</t>
    <phoneticPr fontId="13"/>
  </si>
  <si>
    <t>76</t>
    <phoneticPr fontId="13"/>
  </si>
  <si>
    <t>77</t>
    <phoneticPr fontId="13"/>
  </si>
  <si>
    <r>
      <t>チームＢ入力　　　　　　　　　　　　　　</t>
    </r>
    <r>
      <rPr>
        <b/>
        <sz val="16"/>
        <rFont val="ＭＳ Ｐゴシック"/>
        <family val="3"/>
        <charset val="128"/>
      </rPr>
      <t xml:space="preserve">       </t>
    </r>
    <r>
      <rPr>
        <b/>
        <sz val="10"/>
        <rFont val="ＭＳ Ｐゴシック"/>
        <family val="3"/>
        <charset val="128"/>
      </rPr>
      <t>H列の登録番号をB列に入力すると選手名をＤ列に代入します</t>
    </r>
    <r>
      <rPr>
        <b/>
        <sz val="16"/>
        <rFont val="HG丸ｺﾞｼｯｸM-PRO"/>
        <family val="3"/>
        <charset val="128"/>
      </rPr>
      <t>　　　　　　</t>
    </r>
    <rPh sb="4" eb="6">
      <t>ニュウリョク</t>
    </rPh>
    <rPh sb="28" eb="29">
      <t>レツ</t>
    </rPh>
    <rPh sb="30" eb="32">
      <t>トウロク</t>
    </rPh>
    <rPh sb="32" eb="34">
      <t>バンゴウ</t>
    </rPh>
    <rPh sb="36" eb="37">
      <t>レツ</t>
    </rPh>
    <rPh sb="38" eb="40">
      <t>ニュウリョク</t>
    </rPh>
    <rPh sb="43" eb="46">
      <t>センシュメイ</t>
    </rPh>
    <rPh sb="48" eb="49">
      <t>レツ</t>
    </rPh>
    <rPh sb="50" eb="52">
      <t>ダイニュウ</t>
    </rPh>
    <phoneticPr fontId="13"/>
  </si>
  <si>
    <t>TeB-T</t>
    <phoneticPr fontId="13"/>
  </si>
  <si>
    <t>ゴール   3番 :  井出  哲郎</t>
    <phoneticPr fontId="13"/>
  </si>
  <si>
    <t xml:space="preserve"> </t>
  </si>
  <si>
    <t>Date</t>
    <phoneticPr fontId="13"/>
  </si>
  <si>
    <t>GAME_No</t>
    <phoneticPr fontId="13"/>
  </si>
  <si>
    <t>PLACE</t>
    <phoneticPr fontId="13"/>
  </si>
  <si>
    <t>No</t>
    <phoneticPr fontId="13"/>
  </si>
  <si>
    <t>CA</t>
    <phoneticPr fontId="13"/>
  </si>
  <si>
    <t>MIN</t>
    <phoneticPr fontId="13"/>
  </si>
  <si>
    <t>Penalty</t>
  </si>
  <si>
    <t>PS</t>
    <phoneticPr fontId="13"/>
  </si>
  <si>
    <t>teams</t>
    <phoneticPr fontId="13"/>
  </si>
  <si>
    <t>top</t>
    <phoneticPr fontId="13"/>
  </si>
  <si>
    <t>bottom</t>
    <phoneticPr fontId="13"/>
  </si>
  <si>
    <t>members</t>
  </si>
  <si>
    <t>status</t>
  </si>
  <si>
    <t>pos</t>
    <phoneticPr fontId="13"/>
  </si>
  <si>
    <r>
      <t>n</t>
    </r>
    <r>
      <rPr>
        <sz val="11"/>
        <rFont val="ＭＳ Ｐゴシック"/>
        <family val="3"/>
        <charset val="128"/>
      </rPr>
      <t>br</t>
    </r>
    <phoneticPr fontId="13"/>
  </si>
  <si>
    <r>
      <t>c</t>
    </r>
    <r>
      <rPr>
        <sz val="11"/>
        <rFont val="ＭＳ Ｐゴシック"/>
        <family val="3"/>
        <charset val="128"/>
      </rPr>
      <t>/a</t>
    </r>
    <phoneticPr fontId="13"/>
  </si>
  <si>
    <t>referee</t>
  </si>
  <si>
    <t>SV</t>
    <phoneticPr fontId="13"/>
  </si>
  <si>
    <t>Vacu2</t>
    <phoneticPr fontId="13"/>
  </si>
  <si>
    <t>ABUSE</t>
  </si>
  <si>
    <t>NEC-A</t>
  </si>
  <si>
    <t>ＮＥＣ－Ａ</t>
    <phoneticPr fontId="13"/>
  </si>
  <si>
    <t>myPlayer</t>
    <phoneticPr fontId="13"/>
  </si>
  <si>
    <t>myPos</t>
    <phoneticPr fontId="13"/>
  </si>
  <si>
    <t>myNbr</t>
    <phoneticPr fontId="13"/>
  </si>
  <si>
    <t>myCa</t>
    <phoneticPr fontId="13"/>
  </si>
  <si>
    <t>1-1</t>
    <phoneticPr fontId="13"/>
  </si>
  <si>
    <t>相模原銀河アリーナ</t>
    <rPh sb="0" eb="3">
      <t>サガミハラ</t>
    </rPh>
    <rPh sb="3" eb="5">
      <t>ギンガ</t>
    </rPh>
    <phoneticPr fontId="13"/>
  </si>
  <si>
    <t>0</t>
    <phoneticPr fontId="13"/>
  </si>
  <si>
    <t>(C)</t>
    <phoneticPr fontId="13"/>
  </si>
  <si>
    <t>AD-EQ</t>
  </si>
  <si>
    <t>NEC-B</t>
  </si>
  <si>
    <t xml:space="preserve">      藤原　忠士</t>
  </si>
  <si>
    <t>－－－</t>
    <phoneticPr fontId="13"/>
  </si>
  <si>
    <t>赤坂　隆之</t>
  </si>
  <si>
    <t>1-2</t>
    <phoneticPr fontId="13"/>
  </si>
  <si>
    <t>1</t>
  </si>
  <si>
    <t>(A)</t>
    <phoneticPr fontId="13"/>
  </si>
  <si>
    <t>+1</t>
    <phoneticPr fontId="13"/>
  </si>
  <si>
    <t>ATITUDE</t>
  </si>
  <si>
    <t>N</t>
    <phoneticPr fontId="13"/>
  </si>
  <si>
    <t>イワトビペンギンズ</t>
  </si>
  <si>
    <t xml:space="preserve">      中村　秀岳</t>
  </si>
  <si>
    <t>安藤 仁詩</t>
  </si>
  <si>
    <t>菊地　拓海</t>
  </si>
  <si>
    <t>1-3</t>
  </si>
  <si>
    <t>KOSÉ新横浜スケートセンター</t>
    <rPh sb="4" eb="7">
      <t>シンヨコハマ</t>
    </rPh>
    <phoneticPr fontId="13"/>
  </si>
  <si>
    <t>2</t>
  </si>
  <si>
    <t>(BP)</t>
    <phoneticPr fontId="13"/>
  </si>
  <si>
    <t>F</t>
    <phoneticPr fontId="13"/>
  </si>
  <si>
    <t>+2</t>
    <phoneticPr fontId="13"/>
  </si>
  <si>
    <t>BD-CK</t>
  </si>
  <si>
    <t>ロックホッパーペンギンズ</t>
  </si>
  <si>
    <t xml:space="preserve">      鎮守　正昭</t>
  </si>
  <si>
    <t>市川　健一</t>
    <rPh sb="0" eb="2">
      <t>イチカワ</t>
    </rPh>
    <rPh sb="3" eb="5">
      <t>ケンイチ</t>
    </rPh>
    <phoneticPr fontId="2"/>
  </si>
  <si>
    <t>1-4</t>
  </si>
  <si>
    <t>3</t>
  </si>
  <si>
    <t>(C)(BP)</t>
    <phoneticPr fontId="13"/>
  </si>
  <si>
    <t>D</t>
    <phoneticPr fontId="13"/>
  </si>
  <si>
    <t>-1</t>
    <phoneticPr fontId="13"/>
  </si>
  <si>
    <t>BENCH</t>
  </si>
  <si>
    <t>ケッターズ</t>
  </si>
  <si>
    <t xml:space="preserve">      森　鮎実</t>
  </si>
  <si>
    <t>大山 訓弘</t>
    <rPh sb="0" eb="2">
      <t>オオヤマ</t>
    </rPh>
    <rPh sb="3" eb="4">
      <t>クニ</t>
    </rPh>
    <rPh sb="4" eb="5">
      <t>ヒロ</t>
    </rPh>
    <phoneticPr fontId="2"/>
  </si>
  <si>
    <t>1-5</t>
  </si>
  <si>
    <t>4</t>
  </si>
  <si>
    <t>(A)(BP)</t>
    <phoneticPr fontId="13"/>
  </si>
  <si>
    <t>-2</t>
    <phoneticPr fontId="13"/>
  </si>
  <si>
    <t>BITE</t>
  </si>
  <si>
    <t>スーパー・ケッターズ</t>
  </si>
  <si>
    <t xml:space="preserve">      早川　昭仁</t>
  </si>
  <si>
    <t>奥山 美紀</t>
  </si>
  <si>
    <t>1-6</t>
  </si>
  <si>
    <t>5</t>
  </si>
  <si>
    <t>BLOOD</t>
  </si>
  <si>
    <t>サザンレッドウイングス</t>
  </si>
  <si>
    <t>V   小野　真</t>
  </si>
  <si>
    <t>鍵和田 和明</t>
  </si>
  <si>
    <t>1-7</t>
  </si>
  <si>
    <t>6</t>
  </si>
  <si>
    <t>BOARD</t>
  </si>
  <si>
    <t>EAGLES</t>
  </si>
  <si>
    <t>V   山下　勝史</t>
  </si>
  <si>
    <t>勝山 栄</t>
    <rPh sb="0" eb="2">
      <t>カツヤマ</t>
    </rPh>
    <rPh sb="3" eb="4">
      <t>サカエ</t>
    </rPh>
    <phoneticPr fontId="2"/>
  </si>
  <si>
    <t>1-8</t>
  </si>
  <si>
    <t>1500</t>
    <phoneticPr fontId="13"/>
  </si>
  <si>
    <t>7</t>
  </si>
  <si>
    <t>BR-ST</t>
  </si>
  <si>
    <t>S Blitz</t>
  </si>
  <si>
    <t>V   角丸　貴洋</t>
  </si>
  <si>
    <t>河久保 昌利</t>
  </si>
  <si>
    <t>1-9</t>
  </si>
  <si>
    <t>2000</t>
    <phoneticPr fontId="13"/>
  </si>
  <si>
    <t>8</t>
  </si>
  <si>
    <t>BUT-E</t>
  </si>
  <si>
    <t>S Lightning</t>
  </si>
  <si>
    <t>V   林　要</t>
  </si>
  <si>
    <t>近藤 健一</t>
  </si>
  <si>
    <t>1-10</t>
  </si>
  <si>
    <t>9</t>
  </si>
  <si>
    <t>CHARG</t>
  </si>
  <si>
    <t>チームハセガワA</t>
    <phoneticPr fontId="13"/>
  </si>
  <si>
    <t>V   竹内　景介</t>
  </si>
  <si>
    <t>佐久間　剛</t>
  </si>
  <si>
    <t>1-11</t>
  </si>
  <si>
    <t>10</t>
  </si>
  <si>
    <t>CHE-B</t>
  </si>
  <si>
    <t>チームハセガワB</t>
  </si>
  <si>
    <t>V   菅原　徹也</t>
  </si>
  <si>
    <t>櫻井 信孝</t>
    <rPh sb="0" eb="2">
      <t>サクライ</t>
    </rPh>
    <rPh sb="3" eb="5">
      <t>ノブタカ</t>
    </rPh>
    <phoneticPr fontId="2"/>
  </si>
  <si>
    <t>1-12</t>
  </si>
  <si>
    <t>11:30</t>
    <phoneticPr fontId="13"/>
  </si>
  <si>
    <t>11</t>
  </si>
  <si>
    <t>CHE-H</t>
  </si>
  <si>
    <t>ハマクラブA</t>
  </si>
  <si>
    <t>V   大熊　成地</t>
  </si>
  <si>
    <t>佐々木 暁</t>
  </si>
  <si>
    <t>1-13</t>
  </si>
  <si>
    <t>12:45</t>
    <phoneticPr fontId="13"/>
  </si>
  <si>
    <t>12</t>
  </si>
  <si>
    <t>CH-PL</t>
  </si>
  <si>
    <t>ハマクラブB</t>
  </si>
  <si>
    <t>V   藤澤　崇順</t>
  </si>
  <si>
    <t>佐々木 基喜</t>
  </si>
  <si>
    <t>1-14</t>
  </si>
  <si>
    <t>14:00</t>
    <phoneticPr fontId="13"/>
  </si>
  <si>
    <t>13</t>
  </si>
  <si>
    <t>CLIPP</t>
  </si>
  <si>
    <t>横浜ガルズ</t>
  </si>
  <si>
    <t>V   森　泰憲</t>
  </si>
  <si>
    <t>佐藤 仁衣奈</t>
    <rPh sb="0" eb="2">
      <t>サトウ</t>
    </rPh>
    <rPh sb="3" eb="6">
      <t>ニイナ</t>
    </rPh>
    <phoneticPr fontId="2"/>
  </si>
  <si>
    <t>1-15</t>
  </si>
  <si>
    <t>15:30</t>
    <phoneticPr fontId="13"/>
  </si>
  <si>
    <t>14</t>
  </si>
  <si>
    <t>CLOS</t>
  </si>
  <si>
    <t>スパイラルスケートクラブ</t>
  </si>
  <si>
    <t>V   岩田　光義</t>
  </si>
  <si>
    <t>佐藤　仁美</t>
    <rPh sb="0" eb="2">
      <t>サトウ</t>
    </rPh>
    <rPh sb="3" eb="4">
      <t>ジン</t>
    </rPh>
    <rPh sb="4" eb="5">
      <t>ビ</t>
    </rPh>
    <phoneticPr fontId="2"/>
  </si>
  <si>
    <t>1-16</t>
  </si>
  <si>
    <t>16:45</t>
    <phoneticPr fontId="13"/>
  </si>
  <si>
    <t>15</t>
  </si>
  <si>
    <t>EQ</t>
  </si>
  <si>
    <t>CROSS</t>
  </si>
  <si>
    <t>YOKOHAMA BAY JAZZ</t>
  </si>
  <si>
    <t>V   中西　航一</t>
  </si>
  <si>
    <t>下山 浩二</t>
    <rPh sb="0" eb="2">
      <t>シモヤマ</t>
    </rPh>
    <rPh sb="3" eb="5">
      <t>コウジ</t>
    </rPh>
    <phoneticPr fontId="2"/>
  </si>
  <si>
    <t>1-17</t>
  </si>
  <si>
    <t>18:15</t>
    <phoneticPr fontId="13"/>
  </si>
  <si>
    <t>16</t>
  </si>
  <si>
    <t>PP1</t>
  </si>
  <si>
    <t>DANG</t>
  </si>
  <si>
    <t>YOKOHAMA BAY BLUES</t>
  </si>
  <si>
    <t>V   小池　康文</t>
  </si>
  <si>
    <t>世利　謙太郎</t>
  </si>
  <si>
    <t>1-18</t>
  </si>
  <si>
    <t>19:30</t>
    <phoneticPr fontId="13"/>
  </si>
  <si>
    <t>17</t>
  </si>
  <si>
    <t>PP2</t>
  </si>
  <si>
    <t>DELAY</t>
  </si>
  <si>
    <t>上條会Mao’s</t>
  </si>
  <si>
    <t>V   桶谷　康祐</t>
  </si>
  <si>
    <t>立花 勝彦</t>
  </si>
  <si>
    <t>1-19</t>
  </si>
  <si>
    <t>18</t>
  </si>
  <si>
    <t>SH1</t>
  </si>
  <si>
    <t>DIS-N</t>
  </si>
  <si>
    <t>常盤台ユベントス</t>
  </si>
  <si>
    <t>V   平野　祐規</t>
  </si>
  <si>
    <t>田中 哲治</t>
    <rPh sb="0" eb="2">
      <t>タナカ</t>
    </rPh>
    <rPh sb="3" eb="5">
      <t>テツジ</t>
    </rPh>
    <phoneticPr fontId="2"/>
  </si>
  <si>
    <t>1-20</t>
  </si>
  <si>
    <t>21:00</t>
    <phoneticPr fontId="13"/>
  </si>
  <si>
    <t>19</t>
  </si>
  <si>
    <t>SH2</t>
  </si>
  <si>
    <t>ELBOW</t>
  </si>
  <si>
    <t>神奈川メープルリーフA</t>
  </si>
  <si>
    <t>V   古水戸　直哉</t>
  </si>
  <si>
    <t>戸高 英明</t>
  </si>
  <si>
    <t>1-21</t>
  </si>
  <si>
    <t>21:30</t>
    <phoneticPr fontId="13"/>
  </si>
  <si>
    <t>20</t>
  </si>
  <si>
    <t>EQ･EA</t>
  </si>
  <si>
    <t>EMBEL</t>
  </si>
  <si>
    <t>神奈川メープルリーフB</t>
  </si>
  <si>
    <t>V   坂本　峻太郎</t>
  </si>
  <si>
    <t>中村 秀岳</t>
  </si>
  <si>
    <t>1-22</t>
  </si>
  <si>
    <t>22:00</t>
    <phoneticPr fontId="13"/>
  </si>
  <si>
    <t>21</t>
  </si>
  <si>
    <t>PP1･EA</t>
  </si>
  <si>
    <t>ENG-S</t>
  </si>
  <si>
    <t>横浜JETS</t>
  </si>
  <si>
    <t>V   松村　恒</t>
  </si>
  <si>
    <t>長谷川 宜彦</t>
  </si>
  <si>
    <t>1-23</t>
  </si>
  <si>
    <t>22:30</t>
    <phoneticPr fontId="13"/>
  </si>
  <si>
    <t>22</t>
  </si>
  <si>
    <t>gka</t>
    <phoneticPr fontId="13"/>
  </si>
  <si>
    <t>PP2･EA</t>
  </si>
  <si>
    <t>Mavericks</t>
  </si>
  <si>
    <t>V   柴沼　直希</t>
  </si>
  <si>
    <t>畑中 和幸</t>
  </si>
  <si>
    <t>1-24</t>
  </si>
  <si>
    <t>23:00</t>
    <phoneticPr fontId="13"/>
  </si>
  <si>
    <t>23</t>
  </si>
  <si>
    <t>SH1･EA</t>
  </si>
  <si>
    <t>EQ-INF</t>
  </si>
  <si>
    <t>日産自動車ピストンズ</t>
  </si>
  <si>
    <t>NEC-B</t>
    <phoneticPr fontId="13"/>
  </si>
  <si>
    <t>本田 翔馬</t>
    <rPh sb="0" eb="2">
      <t>ホンダ</t>
    </rPh>
    <rPh sb="3" eb="5">
      <t>ショウマ</t>
    </rPh>
    <phoneticPr fontId="2"/>
  </si>
  <si>
    <t>1-25</t>
  </si>
  <si>
    <t>24</t>
  </si>
  <si>
    <t>SH2･EA</t>
  </si>
  <si>
    <t>EX-RP</t>
  </si>
  <si>
    <t>ENEOS WAVES</t>
  </si>
  <si>
    <t xml:space="preserve">      角丸　貴洋</t>
  </si>
  <si>
    <t>町井　勝輝</t>
  </si>
  <si>
    <t>1-26</t>
  </si>
  <si>
    <t>25</t>
  </si>
  <si>
    <t>EQ･EN</t>
  </si>
  <si>
    <t>FAL-P</t>
  </si>
  <si>
    <t>箱根クラブ</t>
  </si>
  <si>
    <t xml:space="preserve">      林　要</t>
  </si>
  <si>
    <t>山本 秀彦</t>
  </si>
  <si>
    <t>1-27</t>
  </si>
  <si>
    <t>26</t>
  </si>
  <si>
    <t>PP1･EN</t>
  </si>
  <si>
    <t>FIGHT</t>
  </si>
  <si>
    <t>RED BULLETS</t>
    <phoneticPr fontId="13"/>
  </si>
  <si>
    <t xml:space="preserve">      岩田　光義</t>
  </si>
  <si>
    <t>吉岡　唯</t>
    <rPh sb="0" eb="2">
      <t>ヨシオカ</t>
    </rPh>
    <rPh sb="3" eb="4">
      <t>ユイ</t>
    </rPh>
    <phoneticPr fontId="2"/>
  </si>
  <si>
    <t>1-28</t>
  </si>
  <si>
    <t>27</t>
  </si>
  <si>
    <t>gkb</t>
    <phoneticPr fontId="13"/>
  </si>
  <si>
    <t>PP2･EN</t>
  </si>
  <si>
    <t>FISTI</t>
  </si>
  <si>
    <t>ゼロックス・アイスホッケークラブ</t>
  </si>
  <si>
    <t xml:space="preserve">      有田　典生</t>
  </si>
  <si>
    <t>吉田 見登留</t>
  </si>
  <si>
    <t>2-1</t>
    <phoneticPr fontId="13"/>
  </si>
  <si>
    <t>28</t>
  </si>
  <si>
    <t>SH1･EN</t>
  </si>
  <si>
    <t>GA-MI</t>
  </si>
  <si>
    <t>B.B.KINGS</t>
  </si>
  <si>
    <t>有田　典生</t>
    <rPh sb="0" eb="2">
      <t>アリタ</t>
    </rPh>
    <rPh sb="3" eb="5">
      <t>ノリオ</t>
    </rPh>
    <phoneticPr fontId="2"/>
  </si>
  <si>
    <t>2-2</t>
    <phoneticPr fontId="13"/>
  </si>
  <si>
    <t>29</t>
  </si>
  <si>
    <t>SH2･EN</t>
  </si>
  <si>
    <t>GK-INT</t>
  </si>
  <si>
    <t>Big Buzz</t>
  </si>
  <si>
    <t>2-3</t>
  </si>
  <si>
    <t>30</t>
  </si>
  <si>
    <t>PS</t>
  </si>
  <si>
    <t>GK-PEN</t>
  </si>
  <si>
    <t>アイスバンディッツ</t>
  </si>
  <si>
    <t>2-4</t>
  </si>
  <si>
    <t>第73回神奈川県アイスホッケー選手権</t>
    <phoneticPr fontId="13"/>
  </si>
  <si>
    <t>31</t>
  </si>
  <si>
    <t>GWG</t>
  </si>
  <si>
    <t>HAND-P</t>
  </si>
  <si>
    <t>BERKS</t>
  </si>
  <si>
    <t xml:space="preserve">      小橋口　貴</t>
  </si>
  <si>
    <t>2-5</t>
  </si>
  <si>
    <t>第81回国民スポーツ大会神奈川県予選会</t>
    <phoneticPr fontId="13"/>
  </si>
  <si>
    <t>32</t>
  </si>
  <si>
    <t>H-BUT</t>
  </si>
  <si>
    <t>サンダーバード</t>
  </si>
  <si>
    <t xml:space="preserve">      加賀谷　大輔</t>
  </si>
  <si>
    <t>2-6</t>
  </si>
  <si>
    <t>33</t>
  </si>
  <si>
    <t>HELM</t>
  </si>
  <si>
    <t>横浜ダイヤモンズ</t>
  </si>
  <si>
    <t xml:space="preserve">      伊東　順</t>
  </si>
  <si>
    <t>2-7</t>
  </si>
  <si>
    <t>34</t>
  </si>
  <si>
    <t>HI-ST</t>
  </si>
  <si>
    <t>TUSオリオンズ</t>
  </si>
  <si>
    <t xml:space="preserve">      中山　高志</t>
  </si>
  <si>
    <t>2-8</t>
  </si>
  <si>
    <t>35</t>
  </si>
  <si>
    <t>HOLD</t>
  </si>
  <si>
    <t>湘南BRUTUS</t>
  </si>
  <si>
    <t xml:space="preserve">      久保田　真</t>
  </si>
  <si>
    <t>2-9</t>
  </si>
  <si>
    <t>36</t>
  </si>
  <si>
    <t>HOOK</t>
  </si>
  <si>
    <t>alpacas</t>
    <phoneticPr fontId="13"/>
  </si>
  <si>
    <t xml:space="preserve">      竹村　隆博</t>
  </si>
  <si>
    <t>2-10</t>
  </si>
  <si>
    <t>37</t>
  </si>
  <si>
    <t>HO-ST</t>
  </si>
  <si>
    <t>神奈川大学</t>
  </si>
  <si>
    <t xml:space="preserve">      前川　健太郎</t>
  </si>
  <si>
    <t>2-11</t>
  </si>
  <si>
    <t>枕辺 勝美</t>
    <rPh sb="0" eb="2">
      <t>マクラベ</t>
    </rPh>
    <rPh sb="3" eb="5">
      <t>カツミ</t>
    </rPh>
    <phoneticPr fontId="13"/>
  </si>
  <si>
    <t>38</t>
  </si>
  <si>
    <t>ILL-H</t>
  </si>
  <si>
    <t>V   山中　章</t>
  </si>
  <si>
    <t>2-12</t>
  </si>
  <si>
    <t>藤島 墨久</t>
    <rPh sb="0" eb="2">
      <t>フジシマ</t>
    </rPh>
    <rPh sb="3" eb="4">
      <t>スミ</t>
    </rPh>
    <rPh sb="4" eb="5">
      <t>ヒサ</t>
    </rPh>
    <phoneticPr fontId="2"/>
  </si>
  <si>
    <t>39</t>
  </si>
  <si>
    <t>ILL-ST</t>
  </si>
  <si>
    <t>慶應義塾高等学校</t>
    <rPh sb="0" eb="2">
      <t>ケイオウ</t>
    </rPh>
    <rPh sb="2" eb="4">
      <t>ギジュク</t>
    </rPh>
    <rPh sb="4" eb="6">
      <t>コウトウ</t>
    </rPh>
    <rPh sb="6" eb="8">
      <t>ガッコウ</t>
    </rPh>
    <phoneticPr fontId="13"/>
  </si>
  <si>
    <t>V   眞貝　晋平</t>
  </si>
  <si>
    <t>2-13</t>
  </si>
  <si>
    <t>我妻 光男</t>
    <rPh sb="0" eb="2">
      <t>アズマ</t>
    </rPh>
    <rPh sb="3" eb="5">
      <t>ミツオ</t>
    </rPh>
    <phoneticPr fontId="2"/>
  </si>
  <si>
    <t>40</t>
  </si>
  <si>
    <t>INCAC</t>
  </si>
  <si>
    <t>武相高等学校</t>
    <rPh sb="0" eb="2">
      <t>ブソウ</t>
    </rPh>
    <rPh sb="2" eb="4">
      <t>コウトウ</t>
    </rPh>
    <rPh sb="4" eb="6">
      <t>ガッコウ</t>
    </rPh>
    <phoneticPr fontId="13"/>
  </si>
  <si>
    <t>V   渡辺　貴之</t>
  </si>
  <si>
    <t>2-14</t>
  </si>
  <si>
    <t>澤田 可和</t>
    <rPh sb="0" eb="2">
      <t>サワダ</t>
    </rPh>
    <rPh sb="3" eb="4">
      <t>カ</t>
    </rPh>
    <rPh sb="4" eb="5">
      <t>ワ</t>
    </rPh>
    <phoneticPr fontId="2"/>
  </si>
  <si>
    <t>41</t>
  </si>
  <si>
    <t>INJUR</t>
  </si>
  <si>
    <t>C高校</t>
    <rPh sb="1" eb="3">
      <t>コウコウ</t>
    </rPh>
    <phoneticPr fontId="13"/>
  </si>
  <si>
    <t>V   竹田　増蔵</t>
  </si>
  <si>
    <t>2-15</t>
  </si>
  <si>
    <t>杉山 節生</t>
    <rPh sb="0" eb="2">
      <t>スギヤマ</t>
    </rPh>
    <rPh sb="3" eb="4">
      <t>フシ</t>
    </rPh>
    <rPh sb="4" eb="5">
      <t>キ</t>
    </rPh>
    <phoneticPr fontId="2"/>
  </si>
  <si>
    <t>42</t>
  </si>
  <si>
    <t>INTRF</t>
  </si>
  <si>
    <t>D高校</t>
    <rPh sb="1" eb="3">
      <t>コウコウ</t>
    </rPh>
    <phoneticPr fontId="13"/>
  </si>
  <si>
    <t>V   門井　健三</t>
  </si>
  <si>
    <t>2-16</t>
  </si>
  <si>
    <t>阿部山　勝弘</t>
    <rPh sb="0" eb="3">
      <t>アベヤマ</t>
    </rPh>
    <rPh sb="4" eb="6">
      <t>カツヒロ</t>
    </rPh>
    <phoneticPr fontId="13"/>
  </si>
  <si>
    <t>43</t>
  </si>
  <si>
    <t>INT-S</t>
  </si>
  <si>
    <t>E高校</t>
    <rPh sb="1" eb="3">
      <t>コウコウ</t>
    </rPh>
    <phoneticPr fontId="13"/>
  </si>
  <si>
    <t>イワトビペンギンズ</t>
    <phoneticPr fontId="13"/>
  </si>
  <si>
    <t>2-17</t>
  </si>
  <si>
    <t>小岩　敦子</t>
    <rPh sb="0" eb="2">
      <t>コイワ</t>
    </rPh>
    <rPh sb="3" eb="5">
      <t>アツコ</t>
    </rPh>
    <phoneticPr fontId="13"/>
  </si>
  <si>
    <t>44</t>
  </si>
  <si>
    <t>KICK</t>
  </si>
  <si>
    <t>F高校</t>
    <rPh sb="1" eb="3">
      <t>コウコウ</t>
    </rPh>
    <phoneticPr fontId="13"/>
  </si>
  <si>
    <t xml:space="preserve">      渡辺　浩彰</t>
  </si>
  <si>
    <t>2-18</t>
  </si>
  <si>
    <t>佐藤　康夫</t>
    <rPh sb="0" eb="2">
      <t>サトウ</t>
    </rPh>
    <rPh sb="3" eb="4">
      <t>ヤスシ</t>
    </rPh>
    <rPh sb="4" eb="5">
      <t>オット</t>
    </rPh>
    <phoneticPr fontId="13"/>
  </si>
  <si>
    <t>45</t>
  </si>
  <si>
    <t>KNEE</t>
  </si>
  <si>
    <t>G高校</t>
    <rPh sb="1" eb="3">
      <t>コウコウ</t>
    </rPh>
    <phoneticPr fontId="13"/>
  </si>
  <si>
    <t xml:space="preserve">      池田　隆</t>
  </si>
  <si>
    <t>2-19</t>
  </si>
  <si>
    <t>花本　宜裕</t>
    <rPh sb="0" eb="2">
      <t>ハナモト</t>
    </rPh>
    <rPh sb="3" eb="4">
      <t>ギ</t>
    </rPh>
    <rPh sb="4" eb="5">
      <t>ユウ</t>
    </rPh>
    <phoneticPr fontId="13"/>
  </si>
  <si>
    <t>46</t>
  </si>
  <si>
    <t>LA-HI</t>
  </si>
  <si>
    <t>H高校</t>
    <rPh sb="1" eb="3">
      <t>コウコウ</t>
    </rPh>
    <phoneticPr fontId="13"/>
  </si>
  <si>
    <t xml:space="preserve">      池田　あや</t>
  </si>
  <si>
    <t>2-20</t>
  </si>
  <si>
    <t>皆川　きよみ</t>
    <rPh sb="0" eb="2">
      <t>ミナガワ</t>
    </rPh>
    <phoneticPr fontId="13"/>
  </si>
  <si>
    <t>47</t>
  </si>
  <si>
    <t>L-BCH</t>
  </si>
  <si>
    <t>I高校</t>
    <rPh sb="1" eb="3">
      <t>コウコウ</t>
    </rPh>
    <phoneticPr fontId="13"/>
  </si>
  <si>
    <t xml:space="preserve">      東山　俊男</t>
  </si>
  <si>
    <t>2-21</t>
  </si>
  <si>
    <t>有田　典生</t>
    <rPh sb="0" eb="2">
      <t>アリタ</t>
    </rPh>
    <rPh sb="3" eb="5">
      <t>ノリオ</t>
    </rPh>
    <phoneticPr fontId="13"/>
  </si>
  <si>
    <t>48</t>
  </si>
  <si>
    <t>MATCH</t>
  </si>
  <si>
    <t>J高校</t>
    <rPh sb="1" eb="3">
      <t>コウコウ</t>
    </rPh>
    <phoneticPr fontId="13"/>
  </si>
  <si>
    <t>V   菊田　幸生</t>
  </si>
  <si>
    <t>2-22</t>
  </si>
  <si>
    <t>49</t>
  </si>
  <si>
    <t>MISC</t>
  </si>
  <si>
    <t>V   大山　訓弘</t>
  </si>
  <si>
    <t>2-23</t>
  </si>
  <si>
    <t>50</t>
  </si>
  <si>
    <t>OTHER</t>
  </si>
  <si>
    <t>V   北野　郷史</t>
  </si>
  <si>
    <t>2-24</t>
  </si>
  <si>
    <t>51</t>
  </si>
  <si>
    <t>parameter</t>
    <phoneticPr fontId="13"/>
  </si>
  <si>
    <t>V   田中　悟</t>
  </si>
  <si>
    <t>2-25</t>
  </si>
  <si>
    <t>52</t>
  </si>
  <si>
    <t>PULL</t>
  </si>
  <si>
    <t>V   生田目　健次</t>
  </si>
  <si>
    <t>2-26</t>
  </si>
  <si>
    <t>53</t>
  </si>
  <si>
    <t>REFUSE</t>
  </si>
  <si>
    <t>V   今井　耕一</t>
  </si>
  <si>
    <t>2-27</t>
  </si>
  <si>
    <t>54</t>
  </si>
  <si>
    <t>V   木村　健悟</t>
  </si>
  <si>
    <t>2-28</t>
  </si>
  <si>
    <t>55</t>
  </si>
  <si>
    <t>SLASH</t>
  </si>
  <si>
    <t>V   長島　利行</t>
  </si>
  <si>
    <t>3-1</t>
    <phoneticPr fontId="13"/>
  </si>
  <si>
    <t>56</t>
  </si>
  <si>
    <t>SLEW</t>
  </si>
  <si>
    <t>V   飛田　信太郎</t>
  </si>
  <si>
    <t>3-2</t>
    <phoneticPr fontId="13"/>
  </si>
  <si>
    <t>57</t>
  </si>
  <si>
    <t>SPEAR</t>
  </si>
  <si>
    <t>V   齊藤　義之</t>
  </si>
  <si>
    <t>3-3</t>
  </si>
  <si>
    <t>58</t>
  </si>
  <si>
    <t>SPIT</t>
  </si>
  <si>
    <t>V   安原　幸雄</t>
  </si>
  <si>
    <t>3-4</t>
  </si>
  <si>
    <t>59</t>
  </si>
  <si>
    <t>TAUNT</t>
  </si>
  <si>
    <t>V   檀上　諒太</t>
  </si>
  <si>
    <t>3-5</t>
  </si>
  <si>
    <t>60</t>
  </si>
  <si>
    <t>T-BCH</t>
  </si>
  <si>
    <t>V   藤谷　真生</t>
  </si>
  <si>
    <t>3-6</t>
  </si>
  <si>
    <t>61</t>
  </si>
  <si>
    <t>THR-ST</t>
  </si>
  <si>
    <t>ロックホッパーペンギンズ</t>
    <phoneticPr fontId="13"/>
  </si>
  <si>
    <t>3-7</t>
  </si>
  <si>
    <t>62</t>
  </si>
  <si>
    <t>TOO-M</t>
  </si>
  <si>
    <t xml:space="preserve">      早野　知美</t>
  </si>
  <si>
    <t>3-8</t>
  </si>
  <si>
    <t>63</t>
  </si>
  <si>
    <t>TRIP</t>
  </si>
  <si>
    <t>3-9</t>
  </si>
  <si>
    <t>64</t>
  </si>
  <si>
    <t>UN-SP</t>
  </si>
  <si>
    <t xml:space="preserve">      長島　利行</t>
  </si>
  <si>
    <t>3-10</t>
  </si>
  <si>
    <t>65</t>
  </si>
  <si>
    <t>3-11</t>
  </si>
  <si>
    <t>66</t>
  </si>
  <si>
    <t xml:space="preserve">      西海　敬恭</t>
  </si>
  <si>
    <t>3-12</t>
  </si>
  <si>
    <t>67</t>
  </si>
  <si>
    <t xml:space="preserve">      神保　剛</t>
  </si>
  <si>
    <t>3-13</t>
  </si>
  <si>
    <t>68</t>
  </si>
  <si>
    <t xml:space="preserve">      重松　浩一</t>
  </si>
  <si>
    <t>3-14</t>
  </si>
  <si>
    <t>69</t>
  </si>
  <si>
    <t xml:space="preserve">      久保　健一</t>
  </si>
  <si>
    <t>3-15</t>
  </si>
  <si>
    <t>70</t>
  </si>
  <si>
    <t>3-16</t>
  </si>
  <si>
    <t>71</t>
  </si>
  <si>
    <t xml:space="preserve">      清水　尚樹</t>
  </si>
  <si>
    <t>3-17</t>
  </si>
  <si>
    <t>72</t>
  </si>
  <si>
    <t xml:space="preserve">      吉岡　俊介</t>
  </si>
  <si>
    <t>3-18</t>
  </si>
  <si>
    <t>73</t>
  </si>
  <si>
    <t xml:space="preserve">      田口　篤史</t>
  </si>
  <si>
    <t>3-19</t>
  </si>
  <si>
    <t>74</t>
  </si>
  <si>
    <t>V   今野　賢治</t>
  </si>
  <si>
    <t>3-20</t>
  </si>
  <si>
    <t>75</t>
  </si>
  <si>
    <t>V   村田　仁</t>
  </si>
  <si>
    <t>3-21</t>
  </si>
  <si>
    <t>76</t>
  </si>
  <si>
    <t>V   村田　行謙</t>
  </si>
  <si>
    <t>4-1</t>
    <phoneticPr fontId="13"/>
  </si>
  <si>
    <t>77</t>
  </si>
  <si>
    <t>V   柊　一哉</t>
  </si>
  <si>
    <t>4-2</t>
    <phoneticPr fontId="13"/>
  </si>
  <si>
    <t>78</t>
  </si>
  <si>
    <t>V   佐藤　潤一</t>
  </si>
  <si>
    <t>4-3</t>
  </si>
  <si>
    <t>79</t>
  </si>
  <si>
    <t>V   大塚　哲哉</t>
  </si>
  <si>
    <t>4-4</t>
  </si>
  <si>
    <t>80</t>
  </si>
  <si>
    <t>V   谷田貝　晃大</t>
  </si>
  <si>
    <t>4-5</t>
  </si>
  <si>
    <t>81</t>
  </si>
  <si>
    <t xml:space="preserve">      チョウ　ハンミン</t>
  </si>
  <si>
    <t>4-6</t>
  </si>
  <si>
    <t>82</t>
  </si>
  <si>
    <t xml:space="preserve">      田岡　挙</t>
  </si>
  <si>
    <t>4-7</t>
  </si>
  <si>
    <t>83</t>
  </si>
  <si>
    <t>V   生駒　陽一郎</t>
  </si>
  <si>
    <t>4-8</t>
  </si>
  <si>
    <t>84</t>
  </si>
  <si>
    <t>ケッターズ</t>
    <phoneticPr fontId="13"/>
  </si>
  <si>
    <t>4-9</t>
  </si>
  <si>
    <t>85</t>
  </si>
  <si>
    <t xml:space="preserve">      田中　龍一</t>
  </si>
  <si>
    <t>4-10</t>
  </si>
  <si>
    <t>86</t>
  </si>
  <si>
    <t xml:space="preserve">      笹島　宏之</t>
  </si>
  <si>
    <t>4-11</t>
  </si>
  <si>
    <t>87</t>
  </si>
  <si>
    <t xml:space="preserve">      内藤　信仁</t>
  </si>
  <si>
    <t>4-12</t>
  </si>
  <si>
    <t>88</t>
  </si>
  <si>
    <t xml:space="preserve">      木戸　葉月</t>
  </si>
  <si>
    <t>4-13</t>
  </si>
  <si>
    <t>89</t>
  </si>
  <si>
    <t xml:space="preserve">      河野　佳介</t>
  </si>
  <si>
    <t>4-14</t>
  </si>
  <si>
    <t>90</t>
  </si>
  <si>
    <t>V   氏次　祐貴</t>
  </si>
  <si>
    <t>4-15</t>
  </si>
  <si>
    <t>91</t>
  </si>
  <si>
    <t>V   青山　直人</t>
  </si>
  <si>
    <t>4-16</t>
  </si>
  <si>
    <t>92</t>
  </si>
  <si>
    <t>V   寺田　祐也</t>
  </si>
  <si>
    <t>4-17</t>
  </si>
  <si>
    <t>93</t>
  </si>
  <si>
    <t>V   山浦　淳志</t>
  </si>
  <si>
    <t>4-18</t>
  </si>
  <si>
    <t>94</t>
  </si>
  <si>
    <t>V   上原　士門</t>
  </si>
  <si>
    <t>4-19</t>
  </si>
  <si>
    <t>95</t>
  </si>
  <si>
    <t>V   栗原　秀直</t>
  </si>
  <si>
    <t>4-20</t>
  </si>
  <si>
    <t>96</t>
  </si>
  <si>
    <t>V   大澤　蔵人</t>
  </si>
  <si>
    <t>4-21</t>
  </si>
  <si>
    <t>97</t>
  </si>
  <si>
    <t>V   矢吹　涼</t>
  </si>
  <si>
    <t>4-22</t>
  </si>
  <si>
    <t>98</t>
  </si>
  <si>
    <t>V   松浦　大貴</t>
  </si>
  <si>
    <t>4-23</t>
  </si>
  <si>
    <t>99</t>
  </si>
  <si>
    <t>V   上村　秀幸</t>
  </si>
  <si>
    <t>4-24</t>
  </si>
  <si>
    <t>T0</t>
    <phoneticPr fontId="13"/>
  </si>
  <si>
    <t>V   加賀　雄貴</t>
  </si>
  <si>
    <t>4-25</t>
  </si>
  <si>
    <t>T1</t>
  </si>
  <si>
    <t>V   鎌田　健太</t>
  </si>
  <si>
    <t>4-26</t>
  </si>
  <si>
    <t>T2</t>
  </si>
  <si>
    <t>V   西口　開羅</t>
  </si>
  <si>
    <t>4-27</t>
  </si>
  <si>
    <t>T3</t>
  </si>
  <si>
    <t>V   冨永　悠介</t>
  </si>
  <si>
    <t>4-28</t>
  </si>
  <si>
    <t>T4</t>
  </si>
  <si>
    <t>V   ウィルソン　海</t>
  </si>
  <si>
    <t>5-1</t>
    <phoneticPr fontId="13"/>
  </si>
  <si>
    <t>T5</t>
  </si>
  <si>
    <t>V   佐藤　諒</t>
  </si>
  <si>
    <t>5-2</t>
    <phoneticPr fontId="13"/>
  </si>
  <si>
    <t>T6</t>
  </si>
  <si>
    <t>V   土田　啓太</t>
  </si>
  <si>
    <t>T7</t>
  </si>
  <si>
    <r>
      <t xml:space="preserve">V   </t>
    </r>
    <r>
      <rPr>
        <strike/>
        <sz val="11"/>
        <color rgb="FF333333"/>
        <rFont val="ＭＳ Ｐゴシック"/>
        <family val="3"/>
        <charset val="128"/>
      </rPr>
      <t>小川原　由基</t>
    </r>
    <r>
      <rPr>
        <sz val="11"/>
        <color indexed="63"/>
        <rFont val="ＭＳ Ｐゴシック"/>
        <family val="3"/>
        <charset val="128"/>
      </rPr>
      <t>　退部</t>
    </r>
    <rPh sb="11" eb="13">
      <t>タイブ</t>
    </rPh>
    <phoneticPr fontId="13"/>
  </si>
  <si>
    <t>5-4</t>
  </si>
  <si>
    <t>T8</t>
  </si>
  <si>
    <t>スーパー・ケッターズ</t>
    <phoneticPr fontId="13"/>
  </si>
  <si>
    <t>5-5</t>
  </si>
  <si>
    <t>T9</t>
  </si>
  <si>
    <t xml:space="preserve">      田中　紀子</t>
  </si>
  <si>
    <t>5-6</t>
  </si>
  <si>
    <t>T10</t>
  </si>
  <si>
    <t xml:space="preserve">      田中　真樹</t>
  </si>
  <si>
    <t>5-7</t>
  </si>
  <si>
    <t>T11</t>
  </si>
  <si>
    <t xml:space="preserve">      宮本　淳平</t>
  </si>
  <si>
    <t>5-8</t>
  </si>
  <si>
    <t>T12</t>
  </si>
  <si>
    <t xml:space="preserve">      加藤　康之</t>
  </si>
  <si>
    <t>5-9</t>
  </si>
  <si>
    <t>T13</t>
  </si>
  <si>
    <t xml:space="preserve">      川崎　雅弘</t>
  </si>
  <si>
    <t>5-10</t>
  </si>
  <si>
    <t>T14</t>
  </si>
  <si>
    <t>5-11</t>
  </si>
  <si>
    <t>T15</t>
  </si>
  <si>
    <t xml:space="preserve">      菅原　勝</t>
  </si>
  <si>
    <t>5-12</t>
  </si>
  <si>
    <t>T16</t>
  </si>
  <si>
    <t xml:space="preserve">      治山　純也</t>
  </si>
  <si>
    <t>5-13</t>
  </si>
  <si>
    <t>T17</t>
  </si>
  <si>
    <t>5-14</t>
  </si>
  <si>
    <t>T18</t>
  </si>
  <si>
    <t xml:space="preserve">      山本　英仁</t>
  </si>
  <si>
    <t>5-15</t>
  </si>
  <si>
    <t>T19</t>
  </si>
  <si>
    <t>V   畑中　和幸</t>
  </si>
  <si>
    <t>5-16</t>
  </si>
  <si>
    <t>T20</t>
  </si>
  <si>
    <t>V   内藤　信仁</t>
  </si>
  <si>
    <t>5-17</t>
  </si>
  <si>
    <t>T21</t>
  </si>
  <si>
    <t>V   加藤　春比古</t>
  </si>
  <si>
    <t>5-18</t>
  </si>
  <si>
    <t>T22</t>
  </si>
  <si>
    <t>V   渡部　一麿</t>
  </si>
  <si>
    <t>5-19</t>
  </si>
  <si>
    <t>T23</t>
  </si>
  <si>
    <t>V   氏次　孝征</t>
  </si>
  <si>
    <t>5-20</t>
  </si>
  <si>
    <t>T24</t>
  </si>
  <si>
    <t>V   河野　佳介</t>
  </si>
  <si>
    <t>5-21</t>
  </si>
  <si>
    <t>T25</t>
  </si>
  <si>
    <t>V   金子　圭之介</t>
  </si>
  <si>
    <t>5-22</t>
  </si>
  <si>
    <t>T26</t>
  </si>
  <si>
    <t>V   源口　晴一朗</t>
  </si>
  <si>
    <t>5-23</t>
  </si>
  <si>
    <t>T27</t>
  </si>
  <si>
    <t>V   小川　航平</t>
  </si>
  <si>
    <t>5-24</t>
  </si>
  <si>
    <t>T28</t>
  </si>
  <si>
    <t>V   山口　大貴</t>
  </si>
  <si>
    <t>5-25</t>
  </si>
  <si>
    <t>T29</t>
  </si>
  <si>
    <t>F   加藤　悠仁</t>
  </si>
  <si>
    <t>5-26</t>
  </si>
  <si>
    <t>T30</t>
  </si>
  <si>
    <t>サザンレッドウイングス</t>
    <phoneticPr fontId="13"/>
  </si>
  <si>
    <t>5-27</t>
  </si>
  <si>
    <t>T31</t>
  </si>
  <si>
    <t xml:space="preserve">      成田　克巳</t>
  </si>
  <si>
    <t>5-28</t>
  </si>
  <si>
    <t>T32</t>
  </si>
  <si>
    <t xml:space="preserve">      葛西　臣央</t>
  </si>
  <si>
    <t>T33</t>
  </si>
  <si>
    <t xml:space="preserve">      鹿野　義隆</t>
  </si>
  <si>
    <t>T34</t>
  </si>
  <si>
    <t xml:space="preserve">      福田　峰之</t>
  </si>
  <si>
    <t>T35</t>
  </si>
  <si>
    <t xml:space="preserve">      菅野　大介</t>
  </si>
  <si>
    <t>T36</t>
  </si>
  <si>
    <t xml:space="preserve">      島田　佳和</t>
  </si>
  <si>
    <t>T37</t>
  </si>
  <si>
    <t xml:space="preserve">      齋藤　英敏</t>
  </si>
  <si>
    <t>T38</t>
  </si>
  <si>
    <t>V   山田　直史</t>
  </si>
  <si>
    <t>T39</t>
  </si>
  <si>
    <t>V   滝川　博嗣</t>
  </si>
  <si>
    <t>T40</t>
  </si>
  <si>
    <t>V   田村　航平</t>
  </si>
  <si>
    <t>T41</t>
  </si>
  <si>
    <t>V   田中　剛司</t>
  </si>
  <si>
    <t>T42</t>
  </si>
  <si>
    <t>V   寺内　照雄</t>
  </si>
  <si>
    <t>T43</t>
  </si>
  <si>
    <t>V   高田　剛輔</t>
  </si>
  <si>
    <t>T44</t>
  </si>
  <si>
    <t>V   高野　一馬</t>
  </si>
  <si>
    <t>T45</t>
  </si>
  <si>
    <t>V   菅野　祐</t>
  </si>
  <si>
    <t>T46</t>
  </si>
  <si>
    <t>V   西脇　壮摩</t>
  </si>
  <si>
    <t>T47</t>
  </si>
  <si>
    <t>V   西脇　風摩</t>
  </si>
  <si>
    <t>T48</t>
  </si>
  <si>
    <t>T49</t>
  </si>
  <si>
    <t>V   大田原　寛太</t>
  </si>
  <si>
    <t>T50</t>
  </si>
  <si>
    <t>V   大河原　茉裕</t>
  </si>
  <si>
    <t>T51</t>
  </si>
  <si>
    <t>V   御手洗　巧也</t>
  </si>
  <si>
    <t>T52</t>
  </si>
  <si>
    <t>V   田中　柾人</t>
  </si>
  <si>
    <t>T53</t>
  </si>
  <si>
    <t>EAGLES</t>
    <phoneticPr fontId="13"/>
  </si>
  <si>
    <t>T54</t>
  </si>
  <si>
    <t xml:space="preserve">      鈴木　明美</t>
  </si>
  <si>
    <t>T55</t>
  </si>
  <si>
    <t xml:space="preserve">      杉浦　弘章</t>
  </si>
  <si>
    <t>T56</t>
  </si>
  <si>
    <t xml:space="preserve">      鈴木　孝昌</t>
  </si>
  <si>
    <t>T57</t>
  </si>
  <si>
    <t xml:space="preserve">      鄭　高延</t>
  </si>
  <si>
    <t>T58</t>
  </si>
  <si>
    <t xml:space="preserve">      中村　勝二</t>
  </si>
  <si>
    <t>T59</t>
  </si>
  <si>
    <t>V   後藤　貴成</t>
  </si>
  <si>
    <t>T60</t>
  </si>
  <si>
    <t>V   鈴木　惇平</t>
  </si>
  <si>
    <t>T61</t>
  </si>
  <si>
    <t>V   鈴木　啓介</t>
  </si>
  <si>
    <t>T62</t>
  </si>
  <si>
    <t>V   杉浦　祐哉</t>
  </si>
  <si>
    <t>T63</t>
  </si>
  <si>
    <t>V   松本　力也</t>
  </si>
  <si>
    <t>T64</t>
  </si>
  <si>
    <t>V   石倉　浩規</t>
  </si>
  <si>
    <t>T65</t>
  </si>
  <si>
    <t>V   日高　正也</t>
  </si>
  <si>
    <t>T66</t>
  </si>
  <si>
    <t>V   眞保　慶之</t>
  </si>
  <si>
    <t>T67</t>
  </si>
  <si>
    <t>V   漆畑　慶</t>
  </si>
  <si>
    <t>T68</t>
  </si>
  <si>
    <t>V   宮本　響</t>
  </si>
  <si>
    <t>T69</t>
  </si>
  <si>
    <t>V   手塚　隼人</t>
  </si>
  <si>
    <t>T70</t>
  </si>
  <si>
    <t>V   久保田　隼人</t>
  </si>
  <si>
    <t>T71</t>
  </si>
  <si>
    <t>V   清島　賢人</t>
  </si>
  <si>
    <t>T72</t>
  </si>
  <si>
    <t>S Blitz</t>
    <phoneticPr fontId="13"/>
  </si>
  <si>
    <t>T73</t>
  </si>
  <si>
    <t xml:space="preserve">      西村　憲</t>
  </si>
  <si>
    <t>T74</t>
  </si>
  <si>
    <t xml:space="preserve">      木下　和則</t>
  </si>
  <si>
    <t>T75</t>
  </si>
  <si>
    <t xml:space="preserve">      岩崎　佑樹</t>
  </si>
  <si>
    <t>T76</t>
  </si>
  <si>
    <t xml:space="preserve">      Ｈｅｒｍｅｎｉｕｓ　Ｈａｎｓ</t>
  </si>
  <si>
    <t>T77</t>
  </si>
  <si>
    <t xml:space="preserve">      村石　和実</t>
  </si>
  <si>
    <t>T78</t>
  </si>
  <si>
    <t xml:space="preserve">      田中　伸史</t>
  </si>
  <si>
    <t>T79</t>
  </si>
  <si>
    <t xml:space="preserve">      持山　剛</t>
  </si>
  <si>
    <t>T80</t>
  </si>
  <si>
    <t xml:space="preserve">      渡邊　誠</t>
  </si>
  <si>
    <t>T81</t>
  </si>
  <si>
    <t xml:space="preserve">      折目　啓伯</t>
  </si>
  <si>
    <t>T82</t>
  </si>
  <si>
    <t xml:space="preserve">      山本　秀彦</t>
  </si>
  <si>
    <t>T83</t>
  </si>
  <si>
    <t xml:space="preserve">      福谷　和久</t>
  </si>
  <si>
    <t>T84</t>
  </si>
  <si>
    <t>V   岸井　貴志</t>
  </si>
  <si>
    <t>T85</t>
  </si>
  <si>
    <t>V   三浦　雅也</t>
  </si>
  <si>
    <t>T86</t>
  </si>
  <si>
    <t>V   小山田　晃</t>
  </si>
  <si>
    <t>T87</t>
  </si>
  <si>
    <t>V   吉澤　大器</t>
  </si>
  <si>
    <t>T88</t>
  </si>
  <si>
    <t>V   山下　直樹</t>
  </si>
  <si>
    <t>T89</t>
  </si>
  <si>
    <t>V   奥野　稔明</t>
  </si>
  <si>
    <t>T90</t>
  </si>
  <si>
    <t>V   今里　悠人</t>
  </si>
  <si>
    <t>T91</t>
  </si>
  <si>
    <t>V   藤澤　岳瞭</t>
  </si>
  <si>
    <t>T92</t>
  </si>
  <si>
    <t>V   道祖土　貴大</t>
  </si>
  <si>
    <t>T93</t>
  </si>
  <si>
    <t>V   岡部　直樹</t>
  </si>
  <si>
    <t>T94</t>
  </si>
  <si>
    <t>V   吉岡　唯</t>
  </si>
  <si>
    <t>T95</t>
  </si>
  <si>
    <t>V   巴　龍太郎</t>
  </si>
  <si>
    <t>T96</t>
  </si>
  <si>
    <t>V   渡邊　周</t>
  </si>
  <si>
    <t>T97</t>
  </si>
  <si>
    <t>V   神田　翔真</t>
  </si>
  <si>
    <t>T98</t>
  </si>
  <si>
    <t>S Lightning</t>
    <phoneticPr fontId="13"/>
  </si>
  <si>
    <t>T99</t>
  </si>
  <si>
    <t>T</t>
    <phoneticPr fontId="13"/>
  </si>
  <si>
    <t xml:space="preserve">      岸井　貴志</t>
  </si>
  <si>
    <t xml:space="preserve">      吉澤　大器</t>
  </si>
  <si>
    <t xml:space="preserve">      岡部　直樹</t>
  </si>
  <si>
    <t xml:space="preserve">      星野　敬司</t>
  </si>
  <si>
    <t xml:space="preserve">      原口　信也</t>
  </si>
  <si>
    <t xml:space="preserve">      佐藤　仁人</t>
  </si>
  <si>
    <t xml:space="preserve">      岩本　純</t>
  </si>
  <si>
    <t xml:space="preserve">      賀川　寛之</t>
  </si>
  <si>
    <t xml:space="preserve">      塩谷　雅之</t>
  </si>
  <si>
    <t xml:space="preserve">      次田　智一</t>
  </si>
  <si>
    <t xml:space="preserve">      岸田　考広</t>
  </si>
  <si>
    <t xml:space="preserve">      竹内　誠司</t>
  </si>
  <si>
    <t xml:space="preserve">      勝山　栄</t>
  </si>
  <si>
    <t xml:space="preserve">      斎　理</t>
  </si>
  <si>
    <t>V   萩原　拓</t>
  </si>
  <si>
    <t>V   岩崎　佑樹</t>
  </si>
  <si>
    <t>V   鈴木　政洋</t>
  </si>
  <si>
    <t>V   松本　知之</t>
  </si>
  <si>
    <t>V   長尾　翔太</t>
  </si>
  <si>
    <t>V   田村　宙志</t>
  </si>
  <si>
    <t>チーム　ハセガワＡ</t>
    <phoneticPr fontId="13"/>
  </si>
  <si>
    <t xml:space="preserve">      長谷川　清</t>
  </si>
  <si>
    <t xml:space="preserve">      天明　太郎</t>
  </si>
  <si>
    <t xml:space="preserve">      小暮　勇男</t>
  </si>
  <si>
    <t xml:space="preserve">      水原　健司</t>
  </si>
  <si>
    <t xml:space="preserve">      山口　敬介</t>
  </si>
  <si>
    <t xml:space="preserve">      長谷川　大介</t>
  </si>
  <si>
    <t xml:space="preserve">      河久保　昌利</t>
  </si>
  <si>
    <t xml:space="preserve">      斉藤　武</t>
  </si>
  <si>
    <t xml:space="preserve">      長谷川　宜彦</t>
  </si>
  <si>
    <t xml:space="preserve">      松田　未央</t>
  </si>
  <si>
    <t>V   矢嶋　悠作</t>
  </si>
  <si>
    <t>V   ブラウン　ロバート</t>
  </si>
  <si>
    <t>V   鈴木　彰</t>
  </si>
  <si>
    <t>V   新村　翔太</t>
  </si>
  <si>
    <t>V   寺崎　達也</t>
  </si>
  <si>
    <t>V   藤本　詠大</t>
  </si>
  <si>
    <t>V   田中　章悟</t>
  </si>
  <si>
    <t>V   森次　祥秀</t>
    <rPh sb="4" eb="6">
      <t>モリツグ</t>
    </rPh>
    <rPh sb="7" eb="8">
      <t>ショウ</t>
    </rPh>
    <rPh sb="8" eb="9">
      <t>ヒデ</t>
    </rPh>
    <phoneticPr fontId="2"/>
  </si>
  <si>
    <t>V   小川　航</t>
    <rPh sb="4" eb="6">
      <t>オガワ</t>
    </rPh>
    <rPh sb="7" eb="8">
      <t>ワタル</t>
    </rPh>
    <phoneticPr fontId="2"/>
  </si>
  <si>
    <t>V   永沼　陽哉</t>
    <rPh sb="4" eb="6">
      <t>ナガヌマ</t>
    </rPh>
    <rPh sb="7" eb="9">
      <t>ハルヤ</t>
    </rPh>
    <phoneticPr fontId="2"/>
  </si>
  <si>
    <t>V   小川　輝</t>
    <rPh sb="4" eb="6">
      <t>オガワ</t>
    </rPh>
    <rPh sb="7" eb="8">
      <t>テル</t>
    </rPh>
    <phoneticPr fontId="2"/>
  </si>
  <si>
    <t>V   尾川　快斗</t>
    <rPh sb="4" eb="6">
      <t>オガワ</t>
    </rPh>
    <rPh sb="7" eb="8">
      <t>カイ</t>
    </rPh>
    <rPh sb="8" eb="9">
      <t>ト</t>
    </rPh>
    <phoneticPr fontId="2"/>
  </si>
  <si>
    <t>チーム　ハセガワＢ</t>
    <phoneticPr fontId="13"/>
  </si>
  <si>
    <t xml:space="preserve">      小森　和之</t>
  </si>
  <si>
    <t>V   中島　清人</t>
  </si>
  <si>
    <t>V   岡野　宏</t>
  </si>
  <si>
    <t>V   林　寛和</t>
  </si>
  <si>
    <t>V   有波　典</t>
  </si>
  <si>
    <t>V   大久保　和音</t>
  </si>
  <si>
    <t>V   下斗米　伊吹</t>
  </si>
  <si>
    <t>V   佐々木　悠</t>
  </si>
  <si>
    <t>V   中田　聡史</t>
  </si>
  <si>
    <t>V   水戸部　凌也</t>
  </si>
  <si>
    <t>V   林　風汰</t>
  </si>
  <si>
    <t>V   佐々中　健人</t>
  </si>
  <si>
    <t>V   夏野　晃輔</t>
  </si>
  <si>
    <t>V   高橋　葵</t>
  </si>
  <si>
    <t>V   大野　将輝</t>
  </si>
  <si>
    <t>V   北川　海斗</t>
  </si>
  <si>
    <t>V   林　幹汰</t>
  </si>
  <si>
    <t>F   松浦　弾</t>
  </si>
  <si>
    <t>V   松田　圭介</t>
  </si>
  <si>
    <t>V   成田　康平</t>
  </si>
  <si>
    <t>ハマクラブA</t>
    <phoneticPr fontId="13"/>
  </si>
  <si>
    <t xml:space="preserve">      北尾　暁江</t>
  </si>
  <si>
    <t xml:space="preserve">      渡邊　百合子</t>
  </si>
  <si>
    <t xml:space="preserve">      村松　薫</t>
  </si>
  <si>
    <t xml:space="preserve">      熊谷　義行</t>
  </si>
  <si>
    <t xml:space="preserve">      石橋　俊基</t>
  </si>
  <si>
    <t xml:space="preserve">      宇佐美　孝忠</t>
  </si>
  <si>
    <t xml:space="preserve">      森田　修一</t>
  </si>
  <si>
    <t>V   崎山　剛</t>
  </si>
  <si>
    <t>V   林　慎一郎</t>
  </si>
  <si>
    <t>V   永島　亮</t>
  </si>
  <si>
    <t>V   諸橋　岳</t>
  </si>
  <si>
    <t>V   相馬　正寛</t>
  </si>
  <si>
    <t>V   上原　圭祐</t>
  </si>
  <si>
    <t>V   目黒　凛太</t>
  </si>
  <si>
    <t>V   野口　光希</t>
  </si>
  <si>
    <t>V   伊藤　翔太</t>
  </si>
  <si>
    <t>V   川田　泰我</t>
  </si>
  <si>
    <t>V   粂田　彪吾</t>
  </si>
  <si>
    <t>ハマクラブＢ</t>
    <phoneticPr fontId="13"/>
  </si>
  <si>
    <t xml:space="preserve">      岡部　由美</t>
  </si>
  <si>
    <t xml:space="preserve">      安藤　好</t>
  </si>
  <si>
    <t xml:space="preserve">      阿辺　信明</t>
  </si>
  <si>
    <t xml:space="preserve">      落合　一也</t>
  </si>
  <si>
    <t xml:space="preserve">      荒木　裕一郎</t>
  </si>
  <si>
    <t xml:space="preserve">      伊藤　智</t>
  </si>
  <si>
    <t xml:space="preserve">      林　直孝</t>
  </si>
  <si>
    <t xml:space="preserve">      海部　義英</t>
  </si>
  <si>
    <t xml:space="preserve">      岡部　勇人</t>
  </si>
  <si>
    <t xml:space="preserve">      伊藤　進</t>
  </si>
  <si>
    <t xml:space="preserve">      小田　義也</t>
  </si>
  <si>
    <t xml:space="preserve">      藤本　昭宏</t>
  </si>
  <si>
    <t xml:space="preserve">      田口　和哉</t>
  </si>
  <si>
    <t xml:space="preserve">      藤本　悟</t>
  </si>
  <si>
    <t xml:space="preserve">      加藤　直哉</t>
  </si>
  <si>
    <t xml:space="preserve">      酒井　寿一</t>
  </si>
  <si>
    <t>V   池永　武史</t>
  </si>
  <si>
    <t>V   加藤　彰仁</t>
  </si>
  <si>
    <t>V   片桐　直樹</t>
  </si>
  <si>
    <t>V   Ｎｉｅｄｅｒｂｅｒｇｅｒ　Ｃａｒｌｏ</t>
  </si>
  <si>
    <t>V   小出　晋</t>
  </si>
  <si>
    <t>V   青木　人志</t>
  </si>
  <si>
    <t>V   岡田　俊亮</t>
  </si>
  <si>
    <t>V   佐藤　智希</t>
  </si>
  <si>
    <t>横浜ガルズ</t>
    <phoneticPr fontId="13"/>
  </si>
  <si>
    <t xml:space="preserve">      小田　杏奈</t>
  </si>
  <si>
    <t xml:space="preserve">      長谷川　和弘</t>
  </si>
  <si>
    <t xml:space="preserve">      内田　信隆</t>
  </si>
  <si>
    <t>V   奥野　洋章</t>
  </si>
  <si>
    <t>V   吉羽　隆行</t>
  </si>
  <si>
    <t>V   助川　和範</t>
  </si>
  <si>
    <t>V   小田　拓史</t>
  </si>
  <si>
    <t>V   小竹　勇輝</t>
  </si>
  <si>
    <t>V   武井　充</t>
  </si>
  <si>
    <t>V   村山　弥</t>
  </si>
  <si>
    <t>V   川嶋　翔太</t>
  </si>
  <si>
    <t>V   小松　湧暉</t>
  </si>
  <si>
    <t>V   川原　大樹</t>
  </si>
  <si>
    <t>V   トーマス　フーランド</t>
  </si>
  <si>
    <t>V   西村　航平</t>
  </si>
  <si>
    <t>V   戸田　智</t>
  </si>
  <si>
    <t>スパイラルスケートクラブ</t>
    <phoneticPr fontId="13"/>
  </si>
  <si>
    <t xml:space="preserve">      加藤　明日香</t>
  </si>
  <si>
    <t xml:space="preserve">      渋井　菜々子</t>
  </si>
  <si>
    <t>V   田中　一成</t>
  </si>
  <si>
    <t>V   佐藤　世安</t>
  </si>
  <si>
    <t>V   八木　颯斗</t>
  </si>
  <si>
    <t>V   安部　貴心</t>
  </si>
  <si>
    <t>V   須田　雅彦</t>
  </si>
  <si>
    <t>V   中下　真壯</t>
  </si>
  <si>
    <t>V   勝田　遥空</t>
  </si>
  <si>
    <t>V   佐々木　航</t>
  </si>
  <si>
    <t>V   名雪　良</t>
  </si>
  <si>
    <t>V   西村　龍太郎</t>
  </si>
  <si>
    <t>V   茂呂　倫弥</t>
  </si>
  <si>
    <t>V   有本　侑樹</t>
  </si>
  <si>
    <t>V   奥田　創大</t>
  </si>
  <si>
    <t>V   穴井　蒼一郎</t>
  </si>
  <si>
    <t>V   関　勝太</t>
  </si>
  <si>
    <t>V   金井　瑛希</t>
  </si>
  <si>
    <t>F   渋谷　恒輝</t>
  </si>
  <si>
    <t>F   長尾　柊</t>
  </si>
  <si>
    <t>YOKOHAMA BAY JAZZ</t>
    <phoneticPr fontId="13"/>
  </si>
  <si>
    <t xml:space="preserve">      山内　祐介</t>
  </si>
  <si>
    <t xml:space="preserve">      須田　隆宏</t>
  </si>
  <si>
    <t xml:space="preserve">      増尾　圭悟</t>
  </si>
  <si>
    <t xml:space="preserve">      吉田　穣理</t>
  </si>
  <si>
    <t xml:space="preserve">      大野　勇次</t>
  </si>
  <si>
    <t xml:space="preserve">      酒井　丈嗣</t>
  </si>
  <si>
    <t xml:space="preserve">      下大沢　博之</t>
  </si>
  <si>
    <t xml:space="preserve">      田島　浩伸</t>
  </si>
  <si>
    <t xml:space="preserve">      久原　徹哉</t>
  </si>
  <si>
    <t xml:space="preserve">      山本　茂雄</t>
  </si>
  <si>
    <t xml:space="preserve">      栗林　良治</t>
  </si>
  <si>
    <t xml:space="preserve">      高橋　貞夫</t>
  </si>
  <si>
    <t xml:space="preserve">      神山　賢</t>
  </si>
  <si>
    <t xml:space="preserve">      大武　敏朗</t>
  </si>
  <si>
    <t xml:space="preserve">      須賀　淳一</t>
  </si>
  <si>
    <t xml:space="preserve">      加納　圭吾</t>
  </si>
  <si>
    <t xml:space="preserve">      冨樫　智輝</t>
  </si>
  <si>
    <t xml:space="preserve">      裏辻　秀樹</t>
  </si>
  <si>
    <t xml:space="preserve">      細谷　潤</t>
  </si>
  <si>
    <t xml:space="preserve">      今野　泰孝</t>
  </si>
  <si>
    <t xml:space="preserve">      三橋　修士</t>
  </si>
  <si>
    <t xml:space="preserve">      岡田　健司</t>
  </si>
  <si>
    <t>V   鳥居　信之介</t>
  </si>
  <si>
    <t>V   久保　周作</t>
  </si>
  <si>
    <t>V   瀧澤　洋平</t>
  </si>
  <si>
    <t>V   山下　英訓</t>
  </si>
  <si>
    <t>YOKOHAMA BAY BLUES</t>
    <phoneticPr fontId="13"/>
  </si>
  <si>
    <t xml:space="preserve">      鳥居　信之介</t>
  </si>
  <si>
    <t xml:space="preserve">      近藤　健一</t>
  </si>
  <si>
    <t xml:space="preserve">      杉村　栄仁</t>
  </si>
  <si>
    <t>V   富山　大輔</t>
  </si>
  <si>
    <t>V   山内　祐介</t>
  </si>
  <si>
    <t>V   須田　隆宏</t>
  </si>
  <si>
    <t>V   赤阪　彰吾</t>
  </si>
  <si>
    <t>V   横山　雄一</t>
  </si>
  <si>
    <t>V   増尾　圭悟</t>
  </si>
  <si>
    <t>V   細田　渉</t>
  </si>
  <si>
    <t>V   寺坂　仁芳</t>
  </si>
  <si>
    <t>V   亀田　真吾</t>
  </si>
  <si>
    <t>V   吉田　穣理</t>
  </si>
  <si>
    <t>V   濱野　集</t>
  </si>
  <si>
    <t>V   久保田　颯</t>
  </si>
  <si>
    <t>V   大野　勇次</t>
  </si>
  <si>
    <t>V   河田　哲弥</t>
  </si>
  <si>
    <t>V   藤井　佳佑</t>
  </si>
  <si>
    <t>V   田邊　凌</t>
  </si>
  <si>
    <t>V   Kenneth　Mak</t>
  </si>
  <si>
    <t>V   細見　秀生</t>
  </si>
  <si>
    <t>上條会Mao's</t>
    <phoneticPr fontId="13"/>
  </si>
  <si>
    <t xml:space="preserve">      栗岡　辰典</t>
  </si>
  <si>
    <t xml:space="preserve">      築地　可奈</t>
  </si>
  <si>
    <t xml:space="preserve">      宇佐美　信乃</t>
  </si>
  <si>
    <t>V   土屋　洋道</t>
  </si>
  <si>
    <t>V   原田　真吾</t>
  </si>
  <si>
    <t>V   上條　翔太郎</t>
  </si>
  <si>
    <t>V   諸星　北人</t>
  </si>
  <si>
    <t>V   百々　悠介</t>
  </si>
  <si>
    <t>V   石井　克政</t>
  </si>
  <si>
    <t>V   武田　拓時</t>
  </si>
  <si>
    <t>V   内藤　健</t>
  </si>
  <si>
    <t>V   長石　将大</t>
  </si>
  <si>
    <t>V   磐田　翔</t>
  </si>
  <si>
    <t>V   伊藤　恵吾</t>
  </si>
  <si>
    <t>V   杉山　大輝</t>
  </si>
  <si>
    <t>V   大岩　輝彦</t>
  </si>
  <si>
    <t>V   伊藤　圭太</t>
  </si>
  <si>
    <t>V   金森　捷太</t>
  </si>
  <si>
    <t>V   伊藤　悠吾</t>
  </si>
  <si>
    <t>V   松元　礼一郎</t>
  </si>
  <si>
    <t>V   田島　和明</t>
  </si>
  <si>
    <t>V   半沢　俊樹</t>
  </si>
  <si>
    <t>V   積田　悠生</t>
  </si>
  <si>
    <t>V   下形　明賢</t>
  </si>
  <si>
    <t>V   渡　崚太朗</t>
  </si>
  <si>
    <t>V   能見　俊真</t>
  </si>
  <si>
    <t>V   鈴木　晃希</t>
  </si>
  <si>
    <t>V   野村　祐矢</t>
  </si>
  <si>
    <t>常盤台ユベントス</t>
    <phoneticPr fontId="13"/>
  </si>
  <si>
    <t xml:space="preserve">      藤原　奈帆</t>
  </si>
  <si>
    <t xml:space="preserve">      永春　里望</t>
  </si>
  <si>
    <t xml:space="preserve">      土門　開耶</t>
  </si>
  <si>
    <t xml:space="preserve">      籔内　彩乃</t>
  </si>
  <si>
    <t xml:space="preserve">      沢田　明真左</t>
  </si>
  <si>
    <t xml:space="preserve">      鍵和田　和明</t>
  </si>
  <si>
    <t xml:space="preserve">      萱嶋　誠</t>
  </si>
  <si>
    <t>V   清水　謙介</t>
  </si>
  <si>
    <t>V   北野　真章</t>
  </si>
  <si>
    <t>V   三橋　正人</t>
  </si>
  <si>
    <t>V   小林　晴信</t>
  </si>
  <si>
    <t>V   浅海　太郎</t>
  </si>
  <si>
    <t>V   原　圭太</t>
  </si>
  <si>
    <t>V   山田　翔太</t>
  </si>
  <si>
    <t>V   田山　諒</t>
  </si>
  <si>
    <t>V   川端　翔</t>
  </si>
  <si>
    <t>V   藤原　諒</t>
  </si>
  <si>
    <t>V   石川　直輝</t>
  </si>
  <si>
    <t>V   鈴木　篤</t>
  </si>
  <si>
    <t>V   冨澤　英寿</t>
  </si>
  <si>
    <t>V   河合　兼朋</t>
  </si>
  <si>
    <t>V   大久保　颯人</t>
  </si>
  <si>
    <t>V   市瀬　達也</t>
  </si>
  <si>
    <t>V   高橋　龍ノ介</t>
  </si>
  <si>
    <t>V   竹村　颯</t>
  </si>
  <si>
    <t>V   海老原　聖大</t>
  </si>
  <si>
    <t>V   本多　歩維希</t>
  </si>
  <si>
    <t>V   吉田　幸太郎</t>
  </si>
  <si>
    <t>V   南條　聖治</t>
  </si>
  <si>
    <t>V   岡本　柊太郎</t>
  </si>
  <si>
    <t xml:space="preserve">      中村　かえで</t>
  </si>
  <si>
    <t xml:space="preserve">      髙栖　結渚</t>
  </si>
  <si>
    <t xml:space="preserve">      藤原　亜美</t>
  </si>
  <si>
    <t>V   安達　大和</t>
  </si>
  <si>
    <t>V   濱頭　拓未</t>
  </si>
  <si>
    <t>V   酒井　凜太朗</t>
  </si>
  <si>
    <t>V   大槻　快星</t>
  </si>
  <si>
    <t>神奈川メープルリーフ　Ａ</t>
    <phoneticPr fontId="13"/>
  </si>
  <si>
    <t xml:space="preserve">      淵之上　光廣</t>
  </si>
  <si>
    <t xml:space="preserve">      斉藤　昭彦</t>
  </si>
  <si>
    <t xml:space="preserve">      鍋嶋　順子</t>
  </si>
  <si>
    <t xml:space="preserve">      Ｓｕｍｍｅｒｈａｙｓ　Ｇａｒｙ</t>
  </si>
  <si>
    <t xml:space="preserve">      野田　剛志</t>
  </si>
  <si>
    <t xml:space="preserve">      山田　知久</t>
  </si>
  <si>
    <t>V   北出　雅也</t>
  </si>
  <si>
    <t>V   丹野　桂太</t>
  </si>
  <si>
    <t>V   川本　滋裕</t>
  </si>
  <si>
    <t>V   小野　寿弥</t>
  </si>
  <si>
    <t>V   鈴木　秀治</t>
  </si>
  <si>
    <t>V   大河　健太</t>
  </si>
  <si>
    <t>V   ホルト　ケビン</t>
  </si>
  <si>
    <t>V   深澤　友紀</t>
  </si>
  <si>
    <t>V   廣瀬　適汰</t>
  </si>
  <si>
    <t>V   石井　健人</t>
  </si>
  <si>
    <t>V   大木　周</t>
  </si>
  <si>
    <t>V   松本　小次郎</t>
  </si>
  <si>
    <t>V   藤島　克也</t>
  </si>
  <si>
    <t>V   井上　玖良</t>
  </si>
  <si>
    <t>V   高瀬　友人</t>
  </si>
  <si>
    <t>F   堀　旺亮</t>
  </si>
  <si>
    <t>神奈川メープルリーフ　Ｂ</t>
    <phoneticPr fontId="13"/>
  </si>
  <si>
    <t xml:space="preserve">      平間　初恵</t>
  </si>
  <si>
    <t xml:space="preserve">      廣瀬　大介</t>
  </si>
  <si>
    <t xml:space="preserve">      楠美　将来</t>
  </si>
  <si>
    <t xml:space="preserve">      戸井　康夫</t>
  </si>
  <si>
    <t xml:space="preserve">      黒岩　周一郎</t>
  </si>
  <si>
    <t xml:space="preserve">      佐藤　哲也</t>
  </si>
  <si>
    <t xml:space="preserve">      吉村　建太郎</t>
  </si>
  <si>
    <t xml:space="preserve">      飯塚　祐介</t>
  </si>
  <si>
    <t xml:space="preserve">      中村　謙太郎</t>
  </si>
  <si>
    <t>V   藍原　弘典</t>
  </si>
  <si>
    <t>V   渡邊　邦彦</t>
  </si>
  <si>
    <t>V   米田　富雄</t>
  </si>
  <si>
    <t>V   漆畑　豪</t>
  </si>
  <si>
    <t>V   宮脇　昇</t>
  </si>
  <si>
    <t>V   高木　哲</t>
  </si>
  <si>
    <t>V   小池　博之</t>
  </si>
  <si>
    <t>V   駒宮　愛朗</t>
  </si>
  <si>
    <t>V   種田　貴文</t>
  </si>
  <si>
    <t>V   平間　達也</t>
  </si>
  <si>
    <t>V   藤田　遼河</t>
  </si>
  <si>
    <t>横浜JETS</t>
    <phoneticPr fontId="13"/>
  </si>
  <si>
    <t xml:space="preserve">      加納　諒</t>
  </si>
  <si>
    <t xml:space="preserve">      平塚　譲治</t>
  </si>
  <si>
    <t xml:space="preserve">      Ｇｉｕｆｆｒｅ　Ｔｈｏｍａｓ</t>
  </si>
  <si>
    <t xml:space="preserve">      Ｂａｌｍｕｔｈ　Ａｎｄｒｅｗ</t>
  </si>
  <si>
    <t xml:space="preserve">      ＫＯＵＨＩＡ　ＭＩＫＡ</t>
  </si>
  <si>
    <r>
      <t xml:space="preserve">      </t>
    </r>
    <r>
      <rPr>
        <strike/>
        <sz val="11"/>
        <color rgb="FF333333"/>
        <rFont val="ＭＳ Ｐゴシック"/>
        <family val="3"/>
        <charset val="128"/>
      </rPr>
      <t>後藤　仁</t>
    </r>
    <r>
      <rPr>
        <sz val="11"/>
        <color indexed="63"/>
        <rFont val="ＭＳ Ｐゴシック"/>
        <family val="3"/>
        <charset val="128"/>
      </rPr>
      <t>　退部</t>
    </r>
    <rPh sb="11" eb="13">
      <t>タイブ</t>
    </rPh>
    <phoneticPr fontId="13"/>
  </si>
  <si>
    <t xml:space="preserve">      関川　秀一郎</t>
  </si>
  <si>
    <t xml:space="preserve">      Wolfe　Eric</t>
  </si>
  <si>
    <t xml:space="preserve">      Ｌｏｔｏｃｋｉ　Ｄａｖｉｄ</t>
  </si>
  <si>
    <t xml:space="preserve">      安部　浩明</t>
  </si>
  <si>
    <t xml:space="preserve">      Ｄｕｐｕｉｓ　Ｊａｍｉｅ</t>
  </si>
  <si>
    <t xml:space="preserve">      Anderson　Mikael</t>
  </si>
  <si>
    <t>V   Ｄｏｂｒｅｓｃｕ　Ａｒｒｏｎ</t>
  </si>
  <si>
    <t>V   後藤　雄真</t>
  </si>
  <si>
    <t>V   Ｄｕｒｋｅｅ　Ｊｏｅｌ</t>
  </si>
  <si>
    <t>V   Ｖｅｒｓｉｃａｌ　Ｊｏｓｅｐｈ</t>
  </si>
  <si>
    <t>V   田中　修一郎</t>
  </si>
  <si>
    <t>V   Ｎｅｓｔｌｅ　Ａｌｅｘａｎｄｅｒ</t>
  </si>
  <si>
    <t>V   東峰　拳</t>
  </si>
  <si>
    <t>V   安藤　仁詩</t>
  </si>
  <si>
    <t xml:space="preserve">     MacGregor　Robert</t>
    <phoneticPr fontId="13"/>
  </si>
  <si>
    <t xml:space="preserve">     Ｍｉｌｌｗａｒｄ　Ｊａｓｏｎ</t>
    <phoneticPr fontId="13"/>
  </si>
  <si>
    <t>V   Ｄｅｎｎｉｅｒ　Ｊａｍｅｓ</t>
    <phoneticPr fontId="13"/>
  </si>
  <si>
    <t>V   Lukasiewicz　Todd</t>
    <phoneticPr fontId="13"/>
  </si>
  <si>
    <t>V   Mascaro　Joseph</t>
    <phoneticPr fontId="13"/>
  </si>
  <si>
    <t>Mavericks</t>
    <phoneticPr fontId="13"/>
  </si>
  <si>
    <t xml:space="preserve">      荻野　哲男</t>
  </si>
  <si>
    <t xml:space="preserve">      荒木　理沙</t>
  </si>
  <si>
    <t xml:space="preserve">      山内　かすみ</t>
  </si>
  <si>
    <t xml:space="preserve">      坂井　康一郎</t>
  </si>
  <si>
    <t>V   鬼頭　穣</t>
  </si>
  <si>
    <t>V   田中　洋範</t>
  </si>
  <si>
    <t>V   栗谷　達郎</t>
  </si>
  <si>
    <t>V   藤本　純平</t>
  </si>
  <si>
    <t>V   石神　翔平</t>
  </si>
  <si>
    <t>V   大下　正明</t>
  </si>
  <si>
    <t>V   永塚　勇斗</t>
  </si>
  <si>
    <t>V   中村　修大</t>
  </si>
  <si>
    <t>V   松村　夏海</t>
  </si>
  <si>
    <t>V   吉原　純徳</t>
  </si>
  <si>
    <t>V   山内　拓海</t>
  </si>
  <si>
    <t>V   田中　涼</t>
  </si>
  <si>
    <t>V   上野　葵斗</t>
  </si>
  <si>
    <t>日産自動車ピストンズ</t>
    <phoneticPr fontId="13"/>
  </si>
  <si>
    <t xml:space="preserve">      村田　仁</t>
  </si>
  <si>
    <t xml:space="preserve">      松井　郁実</t>
  </si>
  <si>
    <t xml:space="preserve">      神谷　想比亜</t>
  </si>
  <si>
    <t xml:space="preserve">      仁瓶　梨奈</t>
  </si>
  <si>
    <t xml:space="preserve">      武井　康博</t>
  </si>
  <si>
    <t xml:space="preserve">      Ｌｏｎｇｃｏｐｅ　Ｐｅｔｅｒ</t>
  </si>
  <si>
    <t xml:space="preserve">      小南　正春</t>
  </si>
  <si>
    <t xml:space="preserve">      宮寺　和之</t>
  </si>
  <si>
    <t xml:space="preserve">      清水　和人</t>
  </si>
  <si>
    <t xml:space="preserve">      中藪　暢宏</t>
  </si>
  <si>
    <t xml:space="preserve">      佐久間　剛</t>
  </si>
  <si>
    <t>V   横田　英剛</t>
  </si>
  <si>
    <t>V   山梨　雄一</t>
  </si>
  <si>
    <t>V   和田　等</t>
  </si>
  <si>
    <t>V   臼田　高志</t>
  </si>
  <si>
    <t>V   益田　丈輔</t>
  </si>
  <si>
    <t>V   佐藤　晃平</t>
  </si>
  <si>
    <t>V   京野　新達</t>
  </si>
  <si>
    <t>V   小南　亮太</t>
  </si>
  <si>
    <t>V   本間　竜太郎</t>
  </si>
  <si>
    <t>V   金子　純平</t>
  </si>
  <si>
    <t>V   北市　健太郎</t>
  </si>
  <si>
    <t>V   宮下　祐真</t>
  </si>
  <si>
    <t>V   榎本　郷佑</t>
  </si>
  <si>
    <t>ENEOS WAVES</t>
    <phoneticPr fontId="13"/>
  </si>
  <si>
    <t xml:space="preserve">      北川　邦晴</t>
  </si>
  <si>
    <t xml:space="preserve">      小西　勇二</t>
  </si>
  <si>
    <t xml:space="preserve">      鈴木　仁</t>
  </si>
  <si>
    <t xml:space="preserve">      石川　誠</t>
  </si>
  <si>
    <t xml:space="preserve">      中妻　孝之</t>
  </si>
  <si>
    <t xml:space="preserve">      高橋　克己</t>
  </si>
  <si>
    <t xml:space="preserve">      平野　実紀雄</t>
  </si>
  <si>
    <t xml:space="preserve">      花本　孝治</t>
  </si>
  <si>
    <t xml:space="preserve">      中山　泰三</t>
  </si>
  <si>
    <t xml:space="preserve">      青木　理</t>
  </si>
  <si>
    <t xml:space="preserve">      奈良　康博</t>
  </si>
  <si>
    <t xml:space="preserve">      城島　景明</t>
  </si>
  <si>
    <t xml:space="preserve">      山口　純一</t>
  </si>
  <si>
    <t>V   石崎　貴寛</t>
  </si>
  <si>
    <t>V   大島　崇</t>
  </si>
  <si>
    <t>V   岩淵　真悟</t>
  </si>
  <si>
    <t>V   窪田　昌佳</t>
  </si>
  <si>
    <t>箱根クラブ</t>
    <phoneticPr fontId="13"/>
  </si>
  <si>
    <t xml:space="preserve">      疋田　一二美</t>
  </si>
  <si>
    <t xml:space="preserve">      田島　その佳</t>
  </si>
  <si>
    <t xml:space="preserve">      新村　翔太</t>
  </si>
  <si>
    <t xml:space="preserve">      下山　浩二</t>
  </si>
  <si>
    <t xml:space="preserve">      佐藤　茂之</t>
  </si>
  <si>
    <t>V   西村　パトリック</t>
  </si>
  <si>
    <t>V   荒木　卓三</t>
  </si>
  <si>
    <t>V   佐藤　謙治</t>
  </si>
  <si>
    <t>V   新村　正哉</t>
  </si>
  <si>
    <t>V   今井田　拓也</t>
  </si>
  <si>
    <t>V   渡邊　匠</t>
  </si>
  <si>
    <t>V   湯山　元太</t>
  </si>
  <si>
    <t>V   叶多　洸大</t>
  </si>
  <si>
    <t>V   笛木　雄太</t>
  </si>
  <si>
    <t>V   石渡　逸成</t>
  </si>
  <si>
    <t>V   小山　涼</t>
  </si>
  <si>
    <t>V   辻　優大</t>
  </si>
  <si>
    <t xml:space="preserve">      大迫　健</t>
  </si>
  <si>
    <t xml:space="preserve">      吉田　裕司</t>
  </si>
  <si>
    <t xml:space="preserve">      内田　貴典</t>
  </si>
  <si>
    <t xml:space="preserve">      La Cara　Eric</t>
  </si>
  <si>
    <t xml:space="preserve">      二見　穏彰</t>
  </si>
  <si>
    <t>V   加畑　大輔</t>
  </si>
  <si>
    <t>V   平山　隆介</t>
  </si>
  <si>
    <t>V   今村　賢志</t>
  </si>
  <si>
    <t>V   高向　均</t>
  </si>
  <si>
    <t>V   浅井　崇太</t>
  </si>
  <si>
    <t>V   Eriksson　Ken</t>
  </si>
  <si>
    <t>V   堀　高誌</t>
  </si>
  <si>
    <t>V   原　達也</t>
  </si>
  <si>
    <t>V   館田　隼</t>
  </si>
  <si>
    <t>V   Adamson　Christopher</t>
  </si>
  <si>
    <t>V   山本　聖</t>
  </si>
  <si>
    <t>V   Ｄｅｍａｒｅｓｔ　Ｎｅｌｓｏｎ</t>
  </si>
  <si>
    <t>V   La Cara　Toma</t>
  </si>
  <si>
    <t>V   片桐　士慧瑠</t>
  </si>
  <si>
    <t>V   森　隼涼</t>
  </si>
  <si>
    <t xml:space="preserve">      館田　真美</t>
  </si>
  <si>
    <t>ゼロックス</t>
    <phoneticPr fontId="13"/>
  </si>
  <si>
    <t xml:space="preserve">      古川　浩史</t>
  </si>
  <si>
    <t xml:space="preserve">      菊地　雄三</t>
  </si>
  <si>
    <t>V   大島　泰平</t>
  </si>
  <si>
    <t>V   佐藤　圭</t>
  </si>
  <si>
    <t>V   河村　啓介</t>
  </si>
  <si>
    <t>V   星野　敦生</t>
  </si>
  <si>
    <t>V   杉本　大</t>
  </si>
  <si>
    <t>V   江島　明彦</t>
  </si>
  <si>
    <t>V   村田　真</t>
  </si>
  <si>
    <t>V   乗越　理俊</t>
  </si>
  <si>
    <t>V   中村　啓一</t>
  </si>
  <si>
    <t>V   丸山　朋宏</t>
  </si>
  <si>
    <t>V   内藤　洋平</t>
  </si>
  <si>
    <t>V   倉本　健史</t>
  </si>
  <si>
    <t>V   梨田　北斗</t>
  </si>
  <si>
    <t>V   竹下　耀</t>
  </si>
  <si>
    <t>V   伊藤　幸太</t>
  </si>
  <si>
    <t>B.B.KINGS</t>
    <phoneticPr fontId="13"/>
  </si>
  <si>
    <t xml:space="preserve">      堀越　彰子</t>
  </si>
  <si>
    <t xml:space="preserve">      中山　伸子</t>
  </si>
  <si>
    <t xml:space="preserve">      田口　雄一</t>
  </si>
  <si>
    <t xml:space="preserve">      吉田　聡</t>
  </si>
  <si>
    <t xml:space="preserve">      坪山　睦</t>
  </si>
  <si>
    <t xml:space="preserve">      田邊　啓太</t>
  </si>
  <si>
    <t>V   菊地　竜次</t>
  </si>
  <si>
    <t>V   池田　博俊</t>
  </si>
  <si>
    <t>V   佐藤　慎吾</t>
  </si>
  <si>
    <t>V   畠山　悠</t>
  </si>
  <si>
    <t>V   千葉　祐一郎</t>
  </si>
  <si>
    <t>V   江本　精二</t>
  </si>
  <si>
    <t>V   西垣　匡人</t>
  </si>
  <si>
    <t>V   藤井　飛翔</t>
  </si>
  <si>
    <t>V   迫中　兼吾</t>
  </si>
  <si>
    <t>V   尾崎　亮介</t>
  </si>
  <si>
    <t>V   小林　元喜</t>
  </si>
  <si>
    <t>V   加藤　優斗</t>
  </si>
  <si>
    <t>V   山極　隆覚</t>
  </si>
  <si>
    <t>V   勝岡　捷一郎</t>
  </si>
  <si>
    <t>V   ﾀﾞﾜｰﾄﾞﾙｼﾞ　ﾄｩﾌﾞﾃﾞﾝﾄﾞﾙｼﾞ</t>
  </si>
  <si>
    <t>V   クック　亜蓮</t>
  </si>
  <si>
    <t>Big Buzz</t>
    <phoneticPr fontId="13"/>
  </si>
  <si>
    <t xml:space="preserve">      星野　和美</t>
  </si>
  <si>
    <t xml:space="preserve">      長岡　彩子</t>
  </si>
  <si>
    <t xml:space="preserve">      田中　志乃</t>
  </si>
  <si>
    <t xml:space="preserve">      長谷川　滋</t>
  </si>
  <si>
    <t xml:space="preserve">      田中　直樹</t>
  </si>
  <si>
    <t xml:space="preserve">      青木　丈夫</t>
  </si>
  <si>
    <t xml:space="preserve">      川村　一彦</t>
  </si>
  <si>
    <t xml:space="preserve">      奥澤　智明</t>
  </si>
  <si>
    <t xml:space="preserve">      長岡　正樹</t>
  </si>
  <si>
    <t xml:space="preserve">      黒澤　大介</t>
  </si>
  <si>
    <t xml:space="preserve">      小倉　実</t>
  </si>
  <si>
    <t xml:space="preserve">      斉藤　徳史</t>
  </si>
  <si>
    <t xml:space="preserve">      田中　哲治</t>
  </si>
  <si>
    <t xml:space="preserve">      小泉　康理</t>
  </si>
  <si>
    <t>V   村山　貴弘</t>
  </si>
  <si>
    <t>V   飯塚　宣行</t>
  </si>
  <si>
    <t>V   鈴木　大智</t>
  </si>
  <si>
    <t>V   水庭　宜隆</t>
  </si>
  <si>
    <t>V   安達　健太郎</t>
  </si>
  <si>
    <t>V   熊谷　隆太</t>
  </si>
  <si>
    <t>V   尾関　俊介</t>
  </si>
  <si>
    <t>V   小幡　優佑</t>
  </si>
  <si>
    <t>V   道端　莉輝</t>
  </si>
  <si>
    <t>アイスバンディッツ</t>
    <phoneticPr fontId="13"/>
  </si>
  <si>
    <t xml:space="preserve">      高橋　幸則</t>
  </si>
  <si>
    <t xml:space="preserve">      高橋　多恵子</t>
  </si>
  <si>
    <t xml:space="preserve">      馬場　浩</t>
  </si>
  <si>
    <t>V   広瀬　健太郎</t>
  </si>
  <si>
    <t>V   梅原　弘幸</t>
  </si>
  <si>
    <t>V   生田　和之</t>
  </si>
  <si>
    <t>V   前田　晋吾</t>
  </si>
  <si>
    <t>V   加藤　翔太</t>
  </si>
  <si>
    <t>V   矢野　泰良</t>
  </si>
  <si>
    <t>V   佐藤　秀斗</t>
  </si>
  <si>
    <t>V   松原　虎風</t>
  </si>
  <si>
    <t>V   岩崎　拓斗</t>
  </si>
  <si>
    <t>V   栗田　孟龍</t>
  </si>
  <si>
    <t>V   木村　太陽</t>
  </si>
  <si>
    <t>V   梅原　翼</t>
  </si>
  <si>
    <t>V   田村　爽太朗</t>
  </si>
  <si>
    <t>V   高橋　凛之介</t>
  </si>
  <si>
    <t>V   戸田　一世</t>
  </si>
  <si>
    <t>V   立野　正宜</t>
  </si>
  <si>
    <t>V   山田　裕理</t>
  </si>
  <si>
    <t>BERKS</t>
    <phoneticPr fontId="13"/>
  </si>
  <si>
    <t xml:space="preserve">      田中　麻里</t>
  </si>
  <si>
    <t>役員のみ</t>
    <phoneticPr fontId="13"/>
  </si>
  <si>
    <t xml:space="preserve">      松下　笑</t>
  </si>
  <si>
    <t>V   山田　和範</t>
  </si>
  <si>
    <t>V   大森　正輝</t>
  </si>
  <si>
    <t>V   佐藤　文彦</t>
  </si>
  <si>
    <t>V   吉澤　幸次郎</t>
  </si>
  <si>
    <t>V   小澤　博史</t>
  </si>
  <si>
    <t>V   齊藤　慶介</t>
  </si>
  <si>
    <t>V   岡崎　淳司</t>
  </si>
  <si>
    <t>V   村木　亮</t>
  </si>
  <si>
    <t>V   平松　靖隆</t>
  </si>
  <si>
    <t>V   熊谷　嘉延</t>
  </si>
  <si>
    <t>V   朝倉　嘉彦</t>
  </si>
  <si>
    <t>V   河北　光</t>
  </si>
  <si>
    <t>V   上井　大舟</t>
  </si>
  <si>
    <t>V   高岸　龍之介</t>
  </si>
  <si>
    <t>V   横田　崚</t>
  </si>
  <si>
    <t>V   江種　辰介</t>
  </si>
  <si>
    <t>V   齊藤　慧南</t>
  </si>
  <si>
    <t>V   甲田　柊馬</t>
  </si>
  <si>
    <t>V   近田　一哲</t>
  </si>
  <si>
    <t>V   橋浦　亮太</t>
  </si>
  <si>
    <t>V   田中　佑季</t>
  </si>
  <si>
    <t>V   藤本　司</t>
  </si>
  <si>
    <t>サンダーバード</t>
    <phoneticPr fontId="13"/>
  </si>
  <si>
    <t xml:space="preserve">      前田　晶子</t>
  </si>
  <si>
    <t xml:space="preserve">      福島　敏弘</t>
  </si>
  <si>
    <t xml:space="preserve">      藤野　威</t>
  </si>
  <si>
    <t xml:space="preserve">      前田　洋介</t>
  </si>
  <si>
    <t>V   森田　真佐宏</t>
  </si>
  <si>
    <t>V   東海林　孝光</t>
  </si>
  <si>
    <t>V   山口　鉄平</t>
  </si>
  <si>
    <t>V   金入　常郎</t>
  </si>
  <si>
    <t>V   但木　雄大</t>
  </si>
  <si>
    <t>V   篠塚　慎之介</t>
  </si>
  <si>
    <t>V   Olszyk　Matt</t>
  </si>
  <si>
    <t>V   鈴木　雅仁</t>
  </si>
  <si>
    <t>V   佐々木　大輔</t>
  </si>
  <si>
    <t>V   Ｃｏｌｕｃｃｉ　Ｃｈｒｉｓｔｏｐｈｅｒ</t>
  </si>
  <si>
    <t>V   山下　広貴</t>
  </si>
  <si>
    <t>V   小田桐　浩希</t>
  </si>
  <si>
    <t>V   近藤　雄輔</t>
  </si>
  <si>
    <t>V   Andrews　John</t>
  </si>
  <si>
    <t>V   野村　光平</t>
  </si>
  <si>
    <t>V   杉本　迅</t>
  </si>
  <si>
    <t>V   小野　崇晃</t>
  </si>
  <si>
    <t>V   熊谷　聡士</t>
  </si>
  <si>
    <t>横浜ダイヤモンズ</t>
    <phoneticPr fontId="13"/>
  </si>
  <si>
    <t xml:space="preserve">      江連　沙織</t>
  </si>
  <si>
    <t xml:space="preserve">      小澤　英利子</t>
  </si>
  <si>
    <t>V   千代田　智光</t>
  </si>
  <si>
    <t>V   Jelinek　Alexander</t>
  </si>
  <si>
    <t>V   田中　佳介</t>
  </si>
  <si>
    <t>V   堀江　智生</t>
  </si>
  <si>
    <t>V   荒木　一修</t>
  </si>
  <si>
    <t>V   正留　世成</t>
  </si>
  <si>
    <t>V   反町　尚大</t>
  </si>
  <si>
    <t>V   図書　優一</t>
  </si>
  <si>
    <t>V   行木　耀平</t>
  </si>
  <si>
    <t>V   前　皓一郎</t>
  </si>
  <si>
    <t>V   林　英明</t>
  </si>
  <si>
    <t>V   山田　喜寛</t>
  </si>
  <si>
    <t>V   濱部　紘史</t>
  </si>
  <si>
    <t>V   久保井　陸</t>
  </si>
  <si>
    <t>V   戸田　元</t>
  </si>
  <si>
    <t>V   小磯　孝介</t>
  </si>
  <si>
    <t>V   土屋　力丸</t>
  </si>
  <si>
    <t>TUSオリオンズ</t>
    <phoneticPr fontId="13"/>
  </si>
  <si>
    <t xml:space="preserve">      野中　真太</t>
  </si>
  <si>
    <t xml:space="preserve">      久保井　誠</t>
  </si>
  <si>
    <t>V   末藤　雅章</t>
  </si>
  <si>
    <t>V   太田　諒武</t>
  </si>
  <si>
    <t>V   志賀　正成</t>
  </si>
  <si>
    <t>V   清水　大暉</t>
  </si>
  <si>
    <t>V   新沼　拓</t>
  </si>
  <si>
    <t>V   山口　龍之介</t>
  </si>
  <si>
    <t>V   町田　颯</t>
  </si>
  <si>
    <t>V   秋吉　海治</t>
  </si>
  <si>
    <t>V   世利　謙太郎</t>
  </si>
  <si>
    <t>V   川瀬　涼</t>
  </si>
  <si>
    <t>V   田中　楓芽</t>
  </si>
  <si>
    <t>V   菅原　活成</t>
  </si>
  <si>
    <t>V   飯盛　冴紀</t>
  </si>
  <si>
    <t>V   風間　遼太郎</t>
  </si>
  <si>
    <t>V   竹内　涼太</t>
  </si>
  <si>
    <t>V   石川　遼丞</t>
  </si>
  <si>
    <t>V   北　遥生</t>
  </si>
  <si>
    <t>V   佐藤　天馬</t>
  </si>
  <si>
    <t>V   市村　駿翔</t>
  </si>
  <si>
    <t>V   小林　侑介</t>
  </si>
  <si>
    <t>V   矢野　滉己</t>
  </si>
  <si>
    <t>V   古庄　伸也</t>
  </si>
  <si>
    <t>V   清水　暁太</t>
    <phoneticPr fontId="13"/>
  </si>
  <si>
    <t>V   金原　立到</t>
    <phoneticPr fontId="13"/>
  </si>
  <si>
    <t>V   伊藤　朋恭</t>
    <phoneticPr fontId="13"/>
  </si>
  <si>
    <t>V   石川　達也</t>
    <phoneticPr fontId="13"/>
  </si>
  <si>
    <t>V   村中　太一</t>
    <phoneticPr fontId="13"/>
  </si>
  <si>
    <t>V   佐藤　佳祐</t>
    <phoneticPr fontId="13"/>
  </si>
  <si>
    <t>湘南BRUTUS</t>
    <phoneticPr fontId="13"/>
  </si>
  <si>
    <t xml:space="preserve">      加畑　大輔</t>
  </si>
  <si>
    <t xml:space="preserve">      菊池　梓</t>
  </si>
  <si>
    <t xml:space="preserve">      奥井　明日香</t>
  </si>
  <si>
    <t xml:space="preserve">      丸山　展弘</t>
  </si>
  <si>
    <t xml:space="preserve">      多賀　薫</t>
  </si>
  <si>
    <t xml:space="preserve">      藤井　大輔</t>
  </si>
  <si>
    <t xml:space="preserve">      飯田　巨樹</t>
  </si>
  <si>
    <t xml:space="preserve">      近藤　雄介</t>
  </si>
  <si>
    <t xml:space="preserve">      北村　達哉</t>
  </si>
  <si>
    <t>V   佐藤　琢也</t>
  </si>
  <si>
    <t>V   古谷　聡司</t>
  </si>
  <si>
    <t>V   津崎　兼一</t>
  </si>
  <si>
    <t>V   川邊　健吾</t>
  </si>
  <si>
    <t>V   細見　健吾</t>
  </si>
  <si>
    <t>V   加藤　將文</t>
  </si>
  <si>
    <t>V   宇都宮　智宏</t>
  </si>
  <si>
    <t>V   市川　雅樹</t>
  </si>
  <si>
    <r>
      <t xml:space="preserve">V   </t>
    </r>
    <r>
      <rPr>
        <strike/>
        <sz val="11"/>
        <color rgb="FF333333"/>
        <rFont val="ＭＳ Ｐゴシック"/>
        <family val="3"/>
        <charset val="128"/>
      </rPr>
      <t>平野　達也</t>
    </r>
    <r>
      <rPr>
        <sz val="11"/>
        <color indexed="63"/>
        <rFont val="ＭＳ Ｐゴシック"/>
        <family val="3"/>
        <charset val="128"/>
      </rPr>
      <t>　退部</t>
    </r>
    <rPh sb="10" eb="12">
      <t>タイブ</t>
    </rPh>
    <phoneticPr fontId="13"/>
  </si>
  <si>
    <t>V   早川　貴大</t>
  </si>
  <si>
    <t>V   立花　宏樹</t>
  </si>
  <si>
    <t>V   江原　颯太</t>
  </si>
  <si>
    <t>V   竹本　亘輝</t>
    <phoneticPr fontId="13"/>
  </si>
  <si>
    <t>V   秋山　大輔</t>
  </si>
  <si>
    <t>V   加藤　崇洋</t>
  </si>
  <si>
    <t>V   河上　空椰</t>
  </si>
  <si>
    <t>V   木下　裕貴</t>
  </si>
  <si>
    <t>V   森村　典弘</t>
  </si>
  <si>
    <t>V   黒川　颯</t>
  </si>
  <si>
    <t>V   川又　有真</t>
  </si>
  <si>
    <t>V   毛塚　愛斗</t>
  </si>
  <si>
    <t>V   菊川　篤郎</t>
  </si>
  <si>
    <t>V   鈴木　裕大</t>
  </si>
  <si>
    <t>V   大脇　青空</t>
  </si>
  <si>
    <t xml:space="preserve">      高原　幸路</t>
  </si>
  <si>
    <t>V   雨ヶ﨑　紘平</t>
  </si>
  <si>
    <t>V   橋本　泰介</t>
  </si>
  <si>
    <t>V   大脇　悠叶</t>
  </si>
  <si>
    <t>V   檜垣　到生</t>
  </si>
  <si>
    <t>V   宮内　英士</t>
  </si>
  <si>
    <t>V   倉田　泰</t>
  </si>
  <si>
    <t>V   野村　竜之介</t>
  </si>
  <si>
    <t>V   原口　成太郎</t>
  </si>
  <si>
    <t>V   小野　凌太朗</t>
  </si>
  <si>
    <t>V   大橋　宗一郎</t>
  </si>
  <si>
    <t>V   山本　貴夫</t>
  </si>
  <si>
    <t>V   池田　陽介</t>
  </si>
  <si>
    <t>V   佐伯　俊輔</t>
  </si>
  <si>
    <t>Explanations of abbreviations:</t>
  </si>
  <si>
    <t>略語の説明</t>
    <rPh sb="0" eb="2">
      <t>リャクゴ</t>
    </rPh>
    <rPh sb="3" eb="5">
      <t>セツメイ</t>
    </rPh>
    <phoneticPr fontId="13"/>
  </si>
  <si>
    <t>Abbreviations</t>
    <phoneticPr fontId="13"/>
  </si>
  <si>
    <t>Explanations of penalty abbreviations:</t>
    <phoneticPr fontId="13"/>
  </si>
  <si>
    <t>Rule</t>
    <phoneticPr fontId="2"/>
  </si>
  <si>
    <t>Event</t>
  </si>
  <si>
    <t>大会の名称</t>
    <rPh sb="0" eb="2">
      <t>タイカイ</t>
    </rPh>
    <rPh sb="3" eb="5">
      <t>メイショウ</t>
    </rPh>
    <phoneticPr fontId="13"/>
  </si>
  <si>
    <t>Abuse of Officials</t>
  </si>
  <si>
    <t>116</t>
  </si>
  <si>
    <t>Game No.</t>
  </si>
  <si>
    <t>試合番号</t>
    <phoneticPr fontId="13"/>
  </si>
  <si>
    <t>Bench Minor Penalty</t>
  </si>
  <si>
    <t>117</t>
  </si>
  <si>
    <t>Venue</t>
    <phoneticPr fontId="13"/>
  </si>
  <si>
    <t>試合の開催地（開催地の連盟），競技場（リンク名）</t>
    <phoneticPr fontId="13"/>
  </si>
  <si>
    <t xml:space="preserve">BITE </t>
  </si>
  <si>
    <t>Biting</t>
  </si>
  <si>
    <t>118</t>
  </si>
  <si>
    <t>Date</t>
  </si>
  <si>
    <t>試合の開催日</t>
    <phoneticPr fontId="13"/>
  </si>
  <si>
    <t>Boarding</t>
  </si>
  <si>
    <t>119</t>
  </si>
  <si>
    <t>実際の試合開始時刻</t>
    <rPh sb="0" eb="2">
      <t>ジッサイ</t>
    </rPh>
    <rPh sb="3" eb="5">
      <t>シアイ</t>
    </rPh>
    <rPh sb="7" eb="9">
      <t>ジコク</t>
    </rPh>
    <phoneticPr fontId="13"/>
  </si>
  <si>
    <t>Broken Stick</t>
  </si>
  <si>
    <t>120</t>
  </si>
  <si>
    <t>End</t>
    <phoneticPr fontId="2"/>
  </si>
  <si>
    <t>実際の試合終了時刻</t>
    <rPh sb="0" eb="2">
      <t>ジッサイ</t>
    </rPh>
    <rPh sb="5" eb="7">
      <t>シュウリョウ</t>
    </rPh>
    <phoneticPr fontId="2"/>
  </si>
  <si>
    <t>Butt-Ending</t>
  </si>
  <si>
    <t>121</t>
  </si>
  <si>
    <t>Home Team(A)</t>
    <phoneticPr fontId="13"/>
  </si>
  <si>
    <t>ホームチーム名</t>
    <phoneticPr fontId="13"/>
  </si>
  <si>
    <t>Charging</t>
  </si>
  <si>
    <t>122</t>
  </si>
  <si>
    <t>Visiting Team(B)</t>
    <phoneticPr fontId="13"/>
  </si>
  <si>
    <t>ビジターチーム名</t>
    <phoneticPr fontId="13"/>
  </si>
  <si>
    <t xml:space="preserve">Checking from Behind </t>
  </si>
  <si>
    <t>123</t>
  </si>
  <si>
    <t>選手の背番号</t>
    <phoneticPr fontId="13"/>
  </si>
  <si>
    <t>Checking to the Head or Neck</t>
  </si>
  <si>
    <t>124</t>
  </si>
  <si>
    <t>Family and Given Name(+BP+C/A)</t>
  </si>
  <si>
    <t>選手の氏名（名字，名前） BP=ゲーム・ベストプレイヤー，C=キャプテン，A=オルタネート・キャプテン</t>
    <phoneticPr fontId="13"/>
  </si>
  <si>
    <t>Clipping</t>
  </si>
  <si>
    <t>125</t>
  </si>
  <si>
    <t>選手のポジション　　G=ゴールテンダー，D=ディフェンス，F=フォワード</t>
    <phoneticPr fontId="13"/>
  </si>
  <si>
    <t xml:space="preserve">CLOS </t>
  </si>
  <si>
    <t>Closing hand on puck</t>
  </si>
  <si>
    <t>126</t>
  </si>
  <si>
    <t>得点順(何点目の得点）</t>
    <phoneticPr fontId="13"/>
  </si>
  <si>
    <t>Cross-Checking</t>
  </si>
  <si>
    <t>127</t>
  </si>
  <si>
    <t>得点した時間（累計時間）</t>
    <phoneticPr fontId="13"/>
  </si>
  <si>
    <t xml:space="preserve">DANG </t>
  </si>
  <si>
    <t>Dangerous equipment</t>
  </si>
  <si>
    <t>128</t>
  </si>
  <si>
    <t>得点選手の背番号</t>
    <phoneticPr fontId="13"/>
  </si>
  <si>
    <t xml:space="preserve">DELAY </t>
    <phoneticPr fontId="13"/>
  </si>
  <si>
    <t>Delay of Game</t>
  </si>
  <si>
    <t>第１アシスト選手の背番号</t>
    <phoneticPr fontId="13"/>
  </si>
  <si>
    <t>** adjustment of equipment (AD-EQ)</t>
  </si>
  <si>
    <t>129</t>
  </si>
  <si>
    <t>第２アシスト選手の背番号</t>
    <phoneticPr fontId="13"/>
  </si>
  <si>
    <t>** displaced goal net (DIS-N)</t>
  </si>
  <si>
    <t>130</t>
  </si>
  <si>
    <t>反則をした時間（レフェリーが反則を通告した時間）</t>
    <phoneticPr fontId="13"/>
  </si>
  <si>
    <t>** falling on the puck (FAL-P)</t>
  </si>
  <si>
    <t>131</t>
  </si>
  <si>
    <t>反則をした選手の背番号（代行選手やチーム・オフィシャルにはTを記入）</t>
    <phoneticPr fontId="13"/>
  </si>
  <si>
    <t>** freezing the puck (FRE-P)</t>
  </si>
  <si>
    <t>132</t>
  </si>
  <si>
    <t>Min.</t>
  </si>
  <si>
    <t>反則の分数（2，5，10，20，25，ただしペナルティ･ショットはPSを記入）</t>
    <phoneticPr fontId="13"/>
  </si>
  <si>
    <t>** goal celebration</t>
  </si>
  <si>
    <t>133</t>
  </si>
  <si>
    <t>反則内容（反則名の略語）　　※　右記の略語表を参照のこと</t>
    <rPh sb="16" eb="18">
      <t>ウキ</t>
    </rPh>
    <rPh sb="19" eb="21">
      <t>リャクゴ</t>
    </rPh>
    <rPh sb="21" eb="22">
      <t>ヒョウ</t>
    </rPh>
    <rPh sb="23" eb="25">
      <t>サンショウ</t>
    </rPh>
    <phoneticPr fontId="13"/>
  </si>
  <si>
    <t>** late lineup</t>
  </si>
  <si>
    <t>134</t>
  </si>
  <si>
    <t>Period</t>
    <phoneticPr fontId="2"/>
  </si>
  <si>
    <t>ピリオド（1，2，3，OVT=オーバータイム，PSS=ペナルティ・ショット・シュートアウト）</t>
    <phoneticPr fontId="13"/>
  </si>
  <si>
    <t>** shooting or throwing the puck out of play (P-OUT)</t>
  </si>
  <si>
    <t>135</t>
  </si>
  <si>
    <t>Total</t>
  </si>
  <si>
    <t>各項目の合計</t>
  </si>
  <si>
    <t>** substitution after an icing call</t>
  </si>
  <si>
    <t>136</t>
  </si>
  <si>
    <t xml:space="preserve">GOAL </t>
    <phoneticPr fontId="13"/>
  </si>
  <si>
    <t>各ピリオドの得点数（A=ホームチーム，B=ビジターチーム）</t>
    <phoneticPr fontId="13"/>
  </si>
  <si>
    <t>** violation of faceoff procedures (F-OFF)</t>
  </si>
  <si>
    <t>137</t>
  </si>
  <si>
    <t xml:space="preserve">SOG </t>
    <phoneticPr fontId="2"/>
  </si>
  <si>
    <t>各ピリオドのシュート数（相手Gがセーブしたシュート数＋得点数）　（A=ホームチーム，B=ビジターチーム）</t>
    <phoneticPr fontId="13"/>
  </si>
  <si>
    <t>Elbowing</t>
  </si>
  <si>
    <t xml:space="preserve">PIM </t>
    <phoneticPr fontId="2"/>
  </si>
  <si>
    <t>各ピリオドの反則分数（A=ホームチーム，B=ビジターチーム）</t>
    <phoneticPr fontId="13"/>
  </si>
  <si>
    <t>Diving or Embellishment （DIVE）</t>
  </si>
  <si>
    <t>GK No.</t>
    <phoneticPr fontId="2"/>
  </si>
  <si>
    <t>出場したゴールテンダーの背番号</t>
    <rPh sb="0" eb="2">
      <t>シュツジョウ</t>
    </rPh>
    <rPh sb="12" eb="15">
      <t>セバンゴウ</t>
    </rPh>
    <phoneticPr fontId="2"/>
  </si>
  <si>
    <t>Engaging with Spectators</t>
  </si>
  <si>
    <t>ピリオド（1，2，3，OVT=オーバータイム）</t>
    <phoneticPr fontId="2"/>
  </si>
  <si>
    <t>Fighting</t>
  </si>
  <si>
    <t>GKA1</t>
    <phoneticPr fontId="2"/>
  </si>
  <si>
    <t>ホームチームの第１（先発した）ゴールテンダーの滞氷時間（各ピリオドごと）</t>
    <rPh sb="23" eb="24">
      <t>タイ</t>
    </rPh>
    <rPh sb="24" eb="25">
      <t>コオリ</t>
    </rPh>
    <rPh sb="25" eb="27">
      <t>ジカン</t>
    </rPh>
    <phoneticPr fontId="2"/>
  </si>
  <si>
    <t>Game Miisconduct Penalty</t>
  </si>
  <si>
    <t>ホームチームの第２（交代した）ゴールテンダーの滞氷時間（各ピリオドごと）</t>
    <phoneticPr fontId="13"/>
  </si>
  <si>
    <t>Interference on a Goaltender</t>
  </si>
  <si>
    <t>GKA3</t>
    <phoneticPr fontId="2"/>
  </si>
  <si>
    <t>ホームチームの第３（交代した）ゴールテンダーの滞氷時間（各ピリオドごと）</t>
    <phoneticPr fontId="13"/>
  </si>
  <si>
    <t>Goaltender Penalties</t>
    <phoneticPr fontId="13"/>
  </si>
  <si>
    <t>ビジターチームの第１（先発した）ゴールテンダーの滞氷時間（各ピリオドごと）</t>
    <phoneticPr fontId="13"/>
  </si>
  <si>
    <t>- beyond centre red line</t>
  </si>
  <si>
    <t>209</t>
  </si>
  <si>
    <t>ビジターチームの第２（交代した）ゴールテンダーの滞氷時間（各ピリオドごと）</t>
    <phoneticPr fontId="13"/>
  </si>
  <si>
    <t>- dropping the puck on goal netting</t>
  </si>
  <si>
    <t>218</t>
  </si>
  <si>
    <t>GKB3</t>
    <phoneticPr fontId="2"/>
  </si>
  <si>
    <t>ビジターチームの第３（交代した）ゴールテンダーの滞氷時間（各ピリオドごと）</t>
    <phoneticPr fontId="13"/>
  </si>
  <si>
    <t>- illegally blocking goal net or piling snow</t>
  </si>
  <si>
    <t>222</t>
  </si>
  <si>
    <t>各ゴールテンダーの滞氷時間の合計</t>
    <rPh sb="0" eb="1">
      <t>カク</t>
    </rPh>
    <rPh sb="14" eb="16">
      <t>ゴウケイ</t>
    </rPh>
    <phoneticPr fontId="13"/>
  </si>
  <si>
    <t>- leaving goal crease during player confrontation</t>
  </si>
  <si>
    <t>223</t>
  </si>
  <si>
    <t>GA</t>
    <phoneticPr fontId="2"/>
  </si>
  <si>
    <t>各ゴールテンダーの失点数　※ PSSによる失点は１として加算して記入する。</t>
    <rPh sb="0" eb="1">
      <t>カク</t>
    </rPh>
    <rPh sb="9" eb="11">
      <t>シッテン</t>
    </rPh>
    <rPh sb="11" eb="12">
      <t>スウ</t>
    </rPh>
    <rPh sb="21" eb="23">
      <t>シッテン</t>
    </rPh>
    <rPh sb="28" eb="30">
      <t>カサン</t>
    </rPh>
    <rPh sb="32" eb="34">
      <t>キニュウ</t>
    </rPh>
    <phoneticPr fontId="13"/>
  </si>
  <si>
    <t>Head-Butting</t>
  </si>
  <si>
    <t>Timeout A</t>
  </si>
  <si>
    <t>ホームチームが30秒間のタイムアウトをとった時間</t>
    <rPh sb="9" eb="11">
      <t>ビョウカン</t>
    </rPh>
    <phoneticPr fontId="13"/>
  </si>
  <si>
    <t>Playing without helmet</t>
  </si>
  <si>
    <t>Timeout B</t>
  </si>
  <si>
    <t>ビジターチームが30秒間のタイムアウトをとった時間</t>
    <rPh sb="10" eb="12">
      <t>ビョウカン</t>
    </rPh>
    <phoneticPr fontId="13"/>
  </si>
  <si>
    <t>High sticking  **Accidental injury</t>
  </si>
  <si>
    <t>A</t>
  </si>
  <si>
    <t>ペナルティ・ショット・シュートアウトを行うホームチーム選手の背番号（先攻の場合は＊Aと表記）</t>
    <phoneticPr fontId="13"/>
  </si>
  <si>
    <t>Holding the Stick</t>
  </si>
  <si>
    <t>B</t>
  </si>
  <si>
    <t>ペナルティ・ショット・シュートアウトを行うビジターチーム選手の背番号（先攻の場合は＊Bと表記）</t>
    <phoneticPr fontId="13"/>
  </si>
  <si>
    <t>Holding an opponent</t>
  </si>
  <si>
    <t>ペナルティ・ショット・シュートアウトで守るホームチーム・ゴールテンダーの背番号</t>
    <rPh sb="19" eb="20">
      <t>マモ</t>
    </rPh>
    <phoneticPr fontId="13"/>
  </si>
  <si>
    <t>Hooking</t>
  </si>
  <si>
    <t>ペナルティ・ショット・シュートアウトで守るビジターチーム・ゴールテンダーの背番号</t>
    <rPh sb="19" eb="20">
      <t>マモ</t>
    </rPh>
    <phoneticPr fontId="13"/>
  </si>
  <si>
    <t>Illegal Hit (U12/Women)</t>
  </si>
  <si>
    <t>ペナルティ・ショット・シュートアウトを行った時点の得点数(ホームチームの得点数：ビジターチームの得点数)</t>
    <phoneticPr fontId="13"/>
  </si>
  <si>
    <t>Illegal Stick - Stick Measurement</t>
  </si>
  <si>
    <t>Head Coarch A</t>
    <phoneticPr fontId="13"/>
  </si>
  <si>
    <t>ホームチームの監督（ヘッドコーチ）の氏名</t>
    <rPh sb="18" eb="20">
      <t>シメイ</t>
    </rPh>
    <phoneticPr fontId="13"/>
  </si>
  <si>
    <t>Injured player refusing to leave the ice</t>
  </si>
  <si>
    <t>Head Coarch B</t>
    <phoneticPr fontId="13"/>
  </si>
  <si>
    <t>ビジターチームの監督（ヘッドコーチ)の氏名</t>
    <rPh sb="19" eb="21">
      <t>シメイ</t>
    </rPh>
    <phoneticPr fontId="13"/>
  </si>
  <si>
    <t>Interference</t>
  </si>
  <si>
    <t>Game Superviser</t>
  </si>
  <si>
    <t>ゲーム・スーパーバイザーの氏名</t>
    <phoneticPr fontId="13"/>
  </si>
  <si>
    <t>Kicking</t>
  </si>
  <si>
    <t>Referee Superviser</t>
    <phoneticPr fontId="13"/>
  </si>
  <si>
    <t>レフェリー・スーパーバイザーの氏名</t>
    <phoneticPr fontId="13"/>
  </si>
  <si>
    <t>Kneeing</t>
  </si>
  <si>
    <t>Timekeeper</t>
    <phoneticPr fontId="13"/>
  </si>
  <si>
    <t>タイムキーパーの氏名</t>
    <phoneticPr fontId="13"/>
  </si>
  <si>
    <t>Penalty Box Violation - Leaving Prematurely</t>
  </si>
  <si>
    <t>Penalty Timekeeper</t>
    <phoneticPr fontId="13"/>
  </si>
  <si>
    <t>ペナルティ・タイムキーパーの氏名</t>
    <phoneticPr fontId="13"/>
  </si>
  <si>
    <t>LA-HI</t>
    <phoneticPr fontId="13"/>
  </si>
  <si>
    <t>Late Hit</t>
  </si>
  <si>
    <t>Announcer</t>
    <phoneticPr fontId="13"/>
  </si>
  <si>
    <t>アナウンサーの氏名</t>
    <phoneticPr fontId="13"/>
  </si>
  <si>
    <t>Match Penalty</t>
  </si>
  <si>
    <t>Penalty Bench Attendant:</t>
  </si>
  <si>
    <t>ペナルティ・ベンチ・アテンダントの氏名</t>
    <phoneticPr fontId="13"/>
  </si>
  <si>
    <t>　</t>
    <phoneticPr fontId="13"/>
  </si>
  <si>
    <t>Misconduct Penalty</t>
  </si>
  <si>
    <t>Goal Judge</t>
    <phoneticPr fontId="13"/>
  </si>
  <si>
    <t xml:space="preserve">ゴール・ジャッジの氏名 </t>
    <phoneticPr fontId="13"/>
  </si>
  <si>
    <t>Other offences</t>
  </si>
  <si>
    <t>Scorekeeper's Assistant</t>
    <phoneticPr fontId="2"/>
  </si>
  <si>
    <t xml:space="preserve">スコアキーパーのアシスタントの氏名 </t>
    <phoneticPr fontId="13"/>
  </si>
  <si>
    <t>Pulling Hair, Helmet, Cage</t>
  </si>
  <si>
    <t>Scorekeeper</t>
    <phoneticPr fontId="13"/>
  </si>
  <si>
    <t>スコアキーパーの氏名</t>
    <phoneticPr fontId="13"/>
  </si>
  <si>
    <t>REFUS</t>
  </si>
  <si>
    <t>Refusing to Strat Play</t>
  </si>
  <si>
    <t>Linesperson</t>
    <phoneticPr fontId="2"/>
  </si>
  <si>
    <t>ラインズパーソンの氏名</t>
    <phoneticPr fontId="2"/>
  </si>
  <si>
    <t>Roughing</t>
  </si>
  <si>
    <t>Referee</t>
  </si>
  <si>
    <t>レフェリーの氏名</t>
  </si>
  <si>
    <t>Slashing</t>
  </si>
  <si>
    <t>Sign. Referee</t>
    <phoneticPr fontId="13"/>
  </si>
  <si>
    <t>レフェリーの署名（サイン）</t>
    <phoneticPr fontId="13"/>
  </si>
  <si>
    <t>Slew-footing</t>
  </si>
  <si>
    <t>Spearing</t>
  </si>
  <si>
    <t>Notes:</t>
  </si>
  <si>
    <t>Spitting</t>
  </si>
  <si>
    <t>Team Officials Entering the Playing Area</t>
  </si>
  <si>
    <t>Taunting</t>
  </si>
  <si>
    <t>TEE</t>
  </si>
  <si>
    <t>Teeing (Sledge Hockey only)</t>
  </si>
  <si>
    <t>Throwing a Stick or Object</t>
  </si>
  <si>
    <t>Too Many Men</t>
  </si>
  <si>
    <t>Tripping</t>
  </si>
  <si>
    <t/>
  </si>
  <si>
    <t>Unsportsmanlike Conduct</t>
  </si>
  <si>
    <t>Penalty shot</t>
  </si>
  <si>
    <t>(C)</t>
  </si>
  <si>
    <t>(A)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</si>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</sst>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;[Red]0"/>
    <numFmt numFmtId="177" formatCode="0_);[Red]\(0\);&quot;  &quot;\(\-\)\,"/>
    <numFmt numFmtId="178" formatCode="0_);[Red]\(0\);&quot;  &quot;\-"/>
    <numFmt numFmtId="179" formatCode="00&quot;:&quot;00"/>
    <numFmt numFmtId="180" formatCode="m/d;@"/>
    <numFmt numFmtId="181" formatCode="0&quot;:&quot;00"/>
    <numFmt numFmtId="182" formatCode="#,###"/>
  </numFmts>
  <fonts count="80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8"/>
      <name val="Arial"/>
      <family val="2"/>
    </font>
    <font>
      <b/>
      <i/>
      <sz val="12"/>
      <name val="Arial"/>
      <family val="2"/>
    </font>
    <font>
      <sz val="8"/>
      <name val="ＭＳ Ｐゴシック"/>
      <family val="3"/>
      <charset val="128"/>
    </font>
    <font>
      <b/>
      <sz val="10"/>
      <name val="Arial"/>
      <family val="2"/>
    </font>
    <font>
      <sz val="11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sz val="7"/>
      <name val="ＭＳ Ｐゴシック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6"/>
      <name val="Arial"/>
      <family val="2"/>
    </font>
    <font>
      <b/>
      <sz val="14"/>
      <name val="Arial"/>
      <family val="2"/>
    </font>
    <font>
      <sz val="11"/>
      <name val="ＭＳ Ｐゴシック"/>
      <family val="3"/>
      <charset val="128"/>
    </font>
    <font>
      <i/>
      <sz val="12"/>
      <name val="Arial"/>
      <family val="2"/>
    </font>
    <font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sz val="9"/>
      <name val="ＭＳ Ｐゴシック"/>
      <family val="3"/>
      <charset val="128"/>
    </font>
    <font>
      <sz val="7"/>
      <name val="Times New Roman"/>
      <family val="1"/>
    </font>
    <font>
      <sz val="9"/>
      <name val="Times New Roman"/>
      <family val="1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b/>
      <sz val="16"/>
      <name val="HG丸ｺﾞｼｯｸM-PRO"/>
      <family val="3"/>
      <charset val="128"/>
    </font>
    <font>
      <b/>
      <sz val="16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Times New Roman"/>
      <family val="1"/>
    </font>
    <font>
      <b/>
      <sz val="8"/>
      <color indexed="12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color indexed="9"/>
      <name val="Arial"/>
      <family val="2"/>
    </font>
    <font>
      <sz val="11"/>
      <color indexed="8"/>
      <name val="ＭＳ Ｐゴシック"/>
      <family val="3"/>
      <charset val="128"/>
    </font>
    <font>
      <sz val="11"/>
      <name val="ＭＳ ゴシック"/>
      <family val="3"/>
      <charset val="128"/>
    </font>
    <font>
      <sz val="7"/>
      <color indexed="10"/>
      <name val="Arial"/>
      <family val="2"/>
    </font>
    <font>
      <sz val="8"/>
      <color indexed="10"/>
      <name val="ＭＳ Ｐゴシック"/>
      <family val="3"/>
      <charset val="128"/>
    </font>
    <font>
      <sz val="24"/>
      <color indexed="8"/>
      <name val="ＭＳ Ｐゴシック"/>
      <family val="3"/>
      <charset val="128"/>
    </font>
    <font>
      <b/>
      <sz val="9"/>
      <name val="Times New Roman"/>
      <family val="1"/>
    </font>
    <font>
      <b/>
      <sz val="9"/>
      <name val="ＭＳ Ｐゴシック"/>
      <family val="3"/>
      <charset val="128"/>
    </font>
    <font>
      <b/>
      <sz val="10"/>
      <color indexed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9"/>
      <name val="ＭＳ Ｐ明朝"/>
      <family val="1"/>
      <charset val="128"/>
    </font>
    <font>
      <b/>
      <sz val="14"/>
      <name val="ＭＳ Ｐ明朝"/>
      <family val="1"/>
      <charset val="128"/>
    </font>
    <font>
      <b/>
      <sz val="8"/>
      <name val="Times New Roman"/>
      <family val="1"/>
    </font>
    <font>
      <b/>
      <sz val="9"/>
      <color indexed="30"/>
      <name val="ＭＳ Ｐ明朝"/>
      <family val="1"/>
      <charset val="128"/>
    </font>
    <font>
      <b/>
      <sz val="9"/>
      <color indexed="30"/>
      <name val="Times New Roman"/>
      <family val="1"/>
    </font>
    <font>
      <b/>
      <sz val="9"/>
      <name val="ＭＳ Ｐ明朝"/>
      <family val="1"/>
      <charset val="128"/>
    </font>
    <font>
      <sz val="8"/>
      <name val="ＭＳ 明朝"/>
      <family val="1"/>
      <charset val="128"/>
    </font>
    <font>
      <sz val="6"/>
      <name val="ＭＳ 明朝"/>
      <family val="1"/>
      <charset val="128"/>
    </font>
    <font>
      <sz val="9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9"/>
      <color rgb="FFFF0000"/>
      <name val="Times New Roman"/>
      <family val="1"/>
    </font>
    <font>
      <b/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sz val="8"/>
      <color rgb="FF000000"/>
      <name val="Times New Roman"/>
      <family val="1"/>
    </font>
    <font>
      <sz val="8"/>
      <color theme="0"/>
      <name val="ＭＳ Ｐゴシック"/>
      <family val="3"/>
      <charset val="128"/>
    </font>
    <font>
      <b/>
      <sz val="9"/>
      <color rgb="FF0070C0"/>
      <name val="Times New Roman"/>
      <family val="1"/>
    </font>
    <font>
      <b/>
      <sz val="11"/>
      <color rgb="FFFF0000"/>
      <name val="ＭＳ Ｐゴシック"/>
      <family val="3"/>
      <charset val="128"/>
      <scheme val="minor"/>
    </font>
    <font>
      <b/>
      <sz val="24"/>
      <color theme="1"/>
      <name val="ＭＳ Ｐゴシック"/>
      <family val="3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sz val="8"/>
      <color rgb="FFFF0000"/>
      <name val="ＭＳ Ｐゴシック"/>
      <family val="3"/>
      <charset val="128"/>
    </font>
    <font>
      <sz val="10"/>
      <name val="ＭＳ Ｐゴシック"/>
      <family val="3"/>
      <charset val="128"/>
      <scheme val="major"/>
    </font>
    <font>
      <sz val="10"/>
      <color rgb="FFFF0000"/>
      <name val="Arial"/>
      <family val="2"/>
    </font>
    <font>
      <b/>
      <sz val="22"/>
      <color rgb="FFFF0000"/>
      <name val="ＭＳ Ｐゴシック"/>
      <family val="3"/>
      <charset val="128"/>
    </font>
    <font>
      <sz val="11"/>
      <color indexed="63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2"/>
      <color indexed="9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b/>
      <u/>
      <sz val="11"/>
      <color theme="1"/>
      <name val="ＭＳ Ｐゴシック"/>
      <family val="3"/>
      <charset val="128"/>
      <scheme val="minor"/>
    </font>
    <font>
      <strike/>
      <sz val="11"/>
      <color rgb="FF333333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99"/>
        <bgColor indexed="64"/>
      </patternFill>
    </fill>
  </fills>
  <borders count="22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 diagonalUp="1">
      <left style="dotted">
        <color indexed="64"/>
      </left>
      <right style="thick">
        <color indexed="64"/>
      </right>
      <top style="dotted">
        <color indexed="64"/>
      </top>
      <bottom/>
      <diagonal style="dotted">
        <color indexed="64"/>
      </diagonal>
    </border>
    <border diagonalUp="1">
      <left style="dotted">
        <color indexed="64"/>
      </left>
      <right style="dotted">
        <color indexed="64"/>
      </right>
      <top style="dotted">
        <color indexed="64"/>
      </top>
      <bottom/>
      <diagonal style="dotted">
        <color indexed="64"/>
      </diagonal>
    </border>
    <border diagonalUp="1">
      <left/>
      <right style="dotted">
        <color indexed="64"/>
      </right>
      <top style="dotted">
        <color indexed="64"/>
      </top>
      <bottom/>
      <diagonal style="dotted">
        <color indexed="64"/>
      </diagonal>
    </border>
    <border diagonalUp="1">
      <left style="dotted">
        <color indexed="64"/>
      </left>
      <right style="double">
        <color indexed="64"/>
      </right>
      <top style="dotted">
        <color indexed="64"/>
      </top>
      <bottom/>
      <diagonal style="dotted">
        <color indexed="64"/>
      </diagonal>
    </border>
    <border diagonalUp="1">
      <left style="thick">
        <color indexed="64"/>
      </left>
      <right style="dotted">
        <color indexed="64"/>
      </right>
      <top style="dotted">
        <color indexed="64"/>
      </top>
      <bottom/>
      <diagonal style="dotted">
        <color indexed="64"/>
      </diagonal>
    </border>
    <border diagonalUp="1">
      <left style="dotted">
        <color indexed="64"/>
      </left>
      <right style="thick">
        <color indexed="64"/>
      </right>
      <top style="dotted">
        <color indexed="64"/>
      </top>
      <bottom style="dotted">
        <color indexed="64"/>
      </bottom>
      <diagonal style="dotted">
        <color indexed="64"/>
      </diagonal>
    </border>
    <border diagonalUp="1"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 style="dotted">
        <color indexed="64"/>
      </diagonal>
    </border>
    <border diagonalUp="1">
      <left/>
      <right style="dotted">
        <color indexed="64"/>
      </right>
      <top style="dotted">
        <color indexed="64"/>
      </top>
      <bottom style="dotted">
        <color indexed="64"/>
      </bottom>
      <diagonal style="dotted">
        <color indexed="64"/>
      </diagonal>
    </border>
    <border diagonalUp="1">
      <left style="dotted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 style="dotted">
        <color indexed="64"/>
      </diagonal>
    </border>
    <border diagonalUp="1">
      <left style="thick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 style="dotted">
        <color indexed="64"/>
      </diagonal>
    </border>
    <border diagonalUp="1">
      <left style="dotted">
        <color indexed="64"/>
      </left>
      <right style="thick">
        <color indexed="64"/>
      </right>
      <top style="thin">
        <color indexed="64"/>
      </top>
      <bottom/>
      <diagonal style="dotted">
        <color indexed="64"/>
      </diagonal>
    </border>
    <border diagonalUp="1">
      <left style="dotted">
        <color indexed="64"/>
      </left>
      <right style="dotted">
        <color indexed="64"/>
      </right>
      <top style="thin">
        <color indexed="64"/>
      </top>
      <bottom/>
      <diagonal style="dotted">
        <color indexed="64"/>
      </diagonal>
    </border>
    <border diagonalUp="1" diagonalDown="1">
      <left/>
      <right style="dotted">
        <color indexed="64"/>
      </right>
      <top style="thin">
        <color indexed="64"/>
      </top>
      <bottom style="dotted">
        <color indexed="64"/>
      </bottom>
      <diagonal style="medium">
        <color indexed="64"/>
      </diagonal>
    </border>
    <border diagonalUp="1" diagonalDown="1">
      <left style="dotted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 style="medium">
        <color indexed="64"/>
      </diagonal>
    </border>
    <border diagonalUp="1" diagonalDown="1"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 style="medium">
        <color indexed="64"/>
      </diagonal>
    </border>
    <border diagonalUp="1" diagonalDown="1">
      <left style="thick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 style="medium">
        <color indexed="64"/>
      </diagonal>
    </border>
    <border diagonalUp="1">
      <left style="dotted">
        <color indexed="64"/>
      </left>
      <right style="thick">
        <color indexed="64"/>
      </right>
      <top style="medium">
        <color indexed="64"/>
      </top>
      <bottom style="dotted">
        <color indexed="64"/>
      </bottom>
      <diagonal style="dotted">
        <color indexed="64"/>
      </diagonal>
    </border>
    <border diagonalUp="1"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 style="dotted">
        <color indexed="64"/>
      </diagonal>
    </border>
    <border diagonalUp="1">
      <left/>
      <right style="dotted">
        <color indexed="64"/>
      </right>
      <top style="medium">
        <color indexed="64"/>
      </top>
      <bottom style="dotted">
        <color indexed="64"/>
      </bottom>
      <diagonal style="dotted">
        <color indexed="64"/>
      </diagonal>
    </border>
    <border diagonalUp="1">
      <left style="dotted">
        <color indexed="64"/>
      </left>
      <right style="double">
        <color indexed="64"/>
      </right>
      <top style="medium">
        <color indexed="64"/>
      </top>
      <bottom style="dotted">
        <color indexed="64"/>
      </bottom>
      <diagonal style="dotted">
        <color indexed="64"/>
      </diagonal>
    </border>
    <border diagonalUp="1" diagonalDown="1">
      <left style="dotted">
        <color indexed="64"/>
      </left>
      <right style="dotted">
        <color indexed="64"/>
      </right>
      <top style="thick">
        <color indexed="64"/>
      </top>
      <bottom style="dotted">
        <color indexed="64"/>
      </bottom>
      <diagonal style="medium">
        <color indexed="64"/>
      </diagonal>
    </border>
    <border diagonalUp="1" diagonalDown="1">
      <left style="thick">
        <color indexed="64"/>
      </left>
      <right style="dotted">
        <color indexed="64"/>
      </right>
      <top style="thick">
        <color indexed="64"/>
      </top>
      <bottom style="dotted">
        <color indexed="64"/>
      </bottom>
      <diagonal style="medium">
        <color indexed="64"/>
      </diagonal>
    </border>
    <border diagonalUp="1">
      <left style="thick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 style="dotted">
        <color indexed="64"/>
      </diagonal>
    </border>
    <border diagonalUp="1">
      <left style="dotted">
        <color indexed="64"/>
      </left>
      <right style="thick">
        <color indexed="64"/>
      </right>
      <top style="dotted">
        <color indexed="64"/>
      </top>
      <bottom style="thick">
        <color indexed="64"/>
      </bottom>
      <diagonal style="dotted">
        <color indexed="64"/>
      </diagonal>
    </border>
    <border diagonalUp="1">
      <left style="dotted">
        <color indexed="64"/>
      </left>
      <right style="dotted">
        <color indexed="64"/>
      </right>
      <top style="dotted">
        <color indexed="64"/>
      </top>
      <bottom style="thick">
        <color indexed="64"/>
      </bottom>
      <diagonal style="dotted">
        <color indexed="64"/>
      </diagonal>
    </border>
    <border diagonalUp="1">
      <left/>
      <right style="dotted">
        <color indexed="64"/>
      </right>
      <top style="dotted">
        <color indexed="64"/>
      </top>
      <bottom style="thick">
        <color indexed="64"/>
      </bottom>
      <diagonal style="dotted">
        <color indexed="64"/>
      </diagonal>
    </border>
    <border diagonalUp="1">
      <left style="dotted">
        <color indexed="64"/>
      </left>
      <right style="double">
        <color indexed="64"/>
      </right>
      <top style="dotted">
        <color indexed="64"/>
      </top>
      <bottom style="thick">
        <color indexed="64"/>
      </bottom>
      <diagonal style="dotted">
        <color indexed="64"/>
      </diagonal>
    </border>
    <border diagonalUp="1">
      <left style="thick">
        <color indexed="64"/>
      </left>
      <right style="dotted">
        <color indexed="64"/>
      </right>
      <top style="dotted">
        <color indexed="64"/>
      </top>
      <bottom style="thick">
        <color indexed="64"/>
      </bottom>
      <diagonal style="dotted">
        <color indexed="64"/>
      </diagonal>
    </border>
    <border diagonalUp="1" diagonalDown="1">
      <left style="dotted">
        <color indexed="64"/>
      </left>
      <right style="thick">
        <color indexed="64"/>
      </right>
      <top style="dotted">
        <color indexed="64"/>
      </top>
      <bottom style="dotted">
        <color indexed="64"/>
      </bottom>
      <diagonal style="medium">
        <color indexed="64"/>
      </diagonal>
    </border>
    <border diagonalUp="1" diagonalDown="1"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 style="medium">
        <color indexed="64"/>
      </diagonal>
    </border>
    <border diagonalUp="1" diagonalDown="1">
      <left/>
      <right style="dotted">
        <color indexed="64"/>
      </right>
      <top style="dotted">
        <color indexed="64"/>
      </top>
      <bottom style="dotted">
        <color indexed="64"/>
      </bottom>
      <diagonal style="medium">
        <color indexed="64"/>
      </diagonal>
    </border>
    <border diagonalUp="1" diagonalDown="1">
      <left style="dotted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 style="medium">
        <color indexed="64"/>
      </diagonal>
    </border>
    <border diagonalUp="1" diagonalDown="1">
      <left style="thick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 style="medium">
        <color indexed="64"/>
      </diagonal>
    </border>
    <border diagonalUp="1" diagonalDown="1">
      <left style="dotted">
        <color indexed="64"/>
      </left>
      <right style="thick">
        <color indexed="64"/>
      </right>
      <top style="thin">
        <color indexed="64"/>
      </top>
      <bottom style="dotted">
        <color indexed="64"/>
      </bottom>
      <diagonal style="medium">
        <color indexed="64"/>
      </diagonal>
    </border>
    <border diagonalUp="1">
      <left style="dotted">
        <color indexed="64"/>
      </left>
      <right style="thick">
        <color indexed="64"/>
      </right>
      <top style="dotted">
        <color indexed="64"/>
      </top>
      <bottom style="thin">
        <color indexed="64"/>
      </bottom>
      <diagonal style="dotted">
        <color indexed="64"/>
      </diagonal>
    </border>
    <border diagonalUp="1"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 style="dotted">
        <color indexed="64"/>
      </diagonal>
    </border>
    <border diagonalUp="1">
      <left/>
      <right style="dotted">
        <color indexed="64"/>
      </right>
      <top style="dotted">
        <color indexed="64"/>
      </top>
      <bottom style="thin">
        <color indexed="64"/>
      </bottom>
      <diagonal style="dotted">
        <color indexed="64"/>
      </diagonal>
    </border>
    <border diagonalUp="1">
      <left style="dotted">
        <color indexed="64"/>
      </left>
      <right style="double">
        <color indexed="64"/>
      </right>
      <top style="dotted">
        <color indexed="64"/>
      </top>
      <bottom style="thin">
        <color indexed="64"/>
      </bottom>
      <diagonal style="dotted">
        <color indexed="64"/>
      </diagonal>
    </border>
    <border diagonalUp="1">
      <left style="thick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 style="dotted">
        <color indexed="64"/>
      </diagonal>
    </border>
    <border diagonalUp="1">
      <left style="dotted">
        <color indexed="64"/>
      </left>
      <right style="thick">
        <color indexed="64"/>
      </right>
      <top style="thick">
        <color indexed="64"/>
      </top>
      <bottom style="dotted">
        <color indexed="64"/>
      </bottom>
      <diagonal style="dotted">
        <color indexed="64"/>
      </diagonal>
    </border>
    <border diagonalUp="1">
      <left style="dotted">
        <color indexed="64"/>
      </left>
      <right style="dotted">
        <color indexed="64"/>
      </right>
      <top style="thick">
        <color indexed="64"/>
      </top>
      <bottom style="dotted">
        <color indexed="64"/>
      </bottom>
      <diagonal style="dotted">
        <color indexed="64"/>
      </diagonal>
    </border>
    <border diagonalUp="1">
      <left/>
      <right style="dotted">
        <color indexed="64"/>
      </right>
      <top style="thick">
        <color indexed="64"/>
      </top>
      <bottom style="dotted">
        <color indexed="64"/>
      </bottom>
      <diagonal style="dotted">
        <color indexed="64"/>
      </diagonal>
    </border>
    <border diagonalUp="1">
      <left style="dotted">
        <color indexed="64"/>
      </left>
      <right style="double">
        <color indexed="64"/>
      </right>
      <top style="thick">
        <color indexed="64"/>
      </top>
      <bottom style="dotted">
        <color indexed="64"/>
      </bottom>
      <diagonal style="dotted">
        <color indexed="64"/>
      </diagonal>
    </border>
    <border diagonalUp="1">
      <left style="thick">
        <color indexed="64"/>
      </left>
      <right style="dotted">
        <color indexed="64"/>
      </right>
      <top style="thick">
        <color indexed="64"/>
      </top>
      <bottom style="dotted">
        <color indexed="64"/>
      </bottom>
      <diagonal style="dotted">
        <color indexed="64"/>
      </diagonal>
    </border>
    <border diagonalUp="1">
      <left style="dotted">
        <color indexed="64"/>
      </left>
      <right style="thick">
        <color indexed="64"/>
      </right>
      <top style="thin">
        <color indexed="64"/>
      </top>
      <bottom style="dotted">
        <color indexed="64"/>
      </bottom>
      <diagonal style="dotted">
        <color indexed="64"/>
      </diagonal>
    </border>
    <border diagonalUp="1"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 style="dotted">
        <color indexed="64"/>
      </diagonal>
    </border>
    <border diagonalUp="1">
      <left/>
      <right style="dotted">
        <color indexed="64"/>
      </right>
      <top style="thin">
        <color indexed="64"/>
      </top>
      <bottom style="dotted">
        <color indexed="64"/>
      </bottom>
      <diagonal style="dotted">
        <color indexed="64"/>
      </diagonal>
    </border>
    <border diagonalUp="1">
      <left style="dotted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 style="dotted">
        <color indexed="64"/>
      </diagonal>
    </border>
    <border diagonalUp="1">
      <left style="thick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 style="dotted">
        <color indexed="64"/>
      </diagonal>
    </border>
    <border diagonalUp="1" diagonalDown="1">
      <left style="dotted">
        <color indexed="64"/>
      </left>
      <right style="thick">
        <color indexed="64"/>
      </right>
      <top style="thick">
        <color indexed="64"/>
      </top>
      <bottom style="dotted">
        <color indexed="64"/>
      </bottom>
      <diagonal style="medium">
        <color indexed="64"/>
      </diagonal>
    </border>
    <border diagonalUp="1" diagonalDown="1">
      <left/>
      <right style="dotted">
        <color indexed="64"/>
      </right>
      <top style="thick">
        <color indexed="64"/>
      </top>
      <bottom style="dotted">
        <color indexed="64"/>
      </bottom>
      <diagonal style="medium">
        <color indexed="64"/>
      </diagonal>
    </border>
    <border diagonalUp="1" diagonalDown="1">
      <left style="dotted">
        <color indexed="64"/>
      </left>
      <right style="double">
        <color indexed="64"/>
      </right>
      <top style="thick">
        <color indexed="64"/>
      </top>
      <bottom style="dotted">
        <color indexed="64"/>
      </bottom>
      <diagonal style="medium">
        <color indexed="64"/>
      </diagonal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tted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tted">
        <color indexed="64"/>
      </left>
      <right style="dotted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tted">
        <color indexed="64"/>
      </right>
      <top style="thick">
        <color indexed="64"/>
      </top>
      <bottom style="thick">
        <color indexed="64"/>
      </bottom>
      <diagonal/>
    </border>
    <border>
      <left style="dotted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dotted">
        <color indexed="64"/>
      </right>
      <top style="thick">
        <color indexed="64"/>
      </top>
      <bottom style="thick">
        <color indexed="64"/>
      </bottom>
      <diagonal/>
    </border>
    <border diagonalUp="1">
      <left/>
      <right style="dotted">
        <color indexed="64"/>
      </right>
      <top style="thin">
        <color indexed="64"/>
      </top>
      <bottom/>
      <diagonal style="dotted">
        <color indexed="64"/>
      </diagonal>
    </border>
    <border diagonalUp="1">
      <left style="dotted">
        <color indexed="64"/>
      </left>
      <right style="double">
        <color indexed="64"/>
      </right>
      <top style="thin">
        <color indexed="64"/>
      </top>
      <bottom/>
      <diagonal style="dotted">
        <color indexed="64"/>
      </diagonal>
    </border>
    <border diagonalUp="1">
      <left style="thick">
        <color indexed="64"/>
      </left>
      <right style="dotted">
        <color indexed="64"/>
      </right>
      <top style="thin">
        <color indexed="64"/>
      </top>
      <bottom/>
      <diagonal style="dotted">
        <color indexed="64"/>
      </diagonal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dashed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ashed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ashed">
        <color indexed="64"/>
      </left>
      <right/>
      <top style="medium">
        <color auto="1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dashed">
        <color indexed="22"/>
      </left>
      <right style="thin">
        <color indexed="22"/>
      </right>
      <top style="dashed">
        <color indexed="64"/>
      </top>
      <bottom style="dashed">
        <color indexed="64"/>
      </bottom>
      <diagonal/>
    </border>
    <border>
      <left style="dashed">
        <color indexed="22"/>
      </left>
      <right style="thin">
        <color indexed="22"/>
      </right>
      <top style="dashed">
        <color indexed="64"/>
      </top>
      <bottom style="thin">
        <color indexed="22"/>
      </bottom>
      <diagonal/>
    </border>
    <border>
      <left style="dashed">
        <color indexed="64"/>
      </left>
      <right/>
      <top style="dashed">
        <color indexed="64"/>
      </top>
      <bottom/>
      <diagonal/>
    </border>
  </borders>
  <cellStyleXfs count="2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/>
    <xf numFmtId="38" fontId="16" fillId="0" borderId="0" applyFont="0" applyFill="0" applyBorder="0" applyAlignment="0" applyProtection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</cellStyleXfs>
  <cellXfs count="1076">
    <xf numFmtId="0" fontId="0" fillId="0" borderId="0" xfId="0"/>
    <xf numFmtId="49" fontId="5" fillId="0" borderId="0" xfId="0" applyNumberFormat="1" applyFont="1" applyAlignment="1">
      <alignment vertical="center"/>
    </xf>
    <xf numFmtId="49" fontId="5" fillId="0" borderId="0" xfId="0" applyNumberFormat="1" applyFont="1" applyAlignment="1">
      <alignment vertical="center" shrinkToFit="1"/>
    </xf>
    <xf numFmtId="49" fontId="11" fillId="0" borderId="0" xfId="0" applyNumberFormat="1" applyFont="1" applyAlignment="1">
      <alignment horizontal="center" vertical="center" shrinkToFit="1"/>
    </xf>
    <xf numFmtId="0" fontId="12" fillId="0" borderId="1" xfId="0" applyFont="1" applyBorder="1" applyAlignment="1">
      <alignment horizontal="center" vertical="center" shrinkToFit="1"/>
    </xf>
    <xf numFmtId="49" fontId="11" fillId="0" borderId="0" xfId="0" applyNumberFormat="1" applyFont="1" applyAlignment="1">
      <alignment vertical="center"/>
    </xf>
    <xf numFmtId="0" fontId="12" fillId="0" borderId="2" xfId="0" applyFont="1" applyBorder="1" applyAlignment="1">
      <alignment horizontal="center" vertical="center" shrinkToFit="1"/>
    </xf>
    <xf numFmtId="49" fontId="14" fillId="2" borderId="3" xfId="0" applyNumberFormat="1" applyFont="1" applyFill="1" applyBorder="1" applyAlignment="1">
      <alignment vertical="center"/>
    </xf>
    <xf numFmtId="49" fontId="14" fillId="2" borderId="4" xfId="0" applyNumberFormat="1" applyFont="1" applyFill="1" applyBorder="1" applyAlignment="1">
      <alignment vertical="center"/>
    </xf>
    <xf numFmtId="49" fontId="14" fillId="3" borderId="0" xfId="0" applyNumberFormat="1" applyFont="1" applyFill="1" applyAlignment="1">
      <alignment vertical="center"/>
    </xf>
    <xf numFmtId="49" fontId="14" fillId="3" borderId="5" xfId="0" applyNumberFormat="1" applyFont="1" applyFill="1" applyBorder="1" applyAlignment="1">
      <alignment vertical="center"/>
    </xf>
    <xf numFmtId="0" fontId="12" fillId="0" borderId="7" xfId="0" applyFont="1" applyBorder="1" applyAlignment="1">
      <alignment horizontal="center" vertical="center" shrinkToFit="1"/>
    </xf>
    <xf numFmtId="49" fontId="3" fillId="3" borderId="0" xfId="0" applyNumberFormat="1" applyFont="1" applyFill="1" applyAlignment="1">
      <alignment vertical="center"/>
    </xf>
    <xf numFmtId="49" fontId="17" fillId="3" borderId="0" xfId="0" applyNumberFormat="1" applyFont="1" applyFill="1" applyAlignment="1">
      <alignment vertical="center" shrinkToFit="1"/>
    </xf>
    <xf numFmtId="49" fontId="4" fillId="3" borderId="0" xfId="0" applyNumberFormat="1" applyFont="1" applyFill="1" applyAlignment="1">
      <alignment vertical="center"/>
    </xf>
    <xf numFmtId="49" fontId="18" fillId="3" borderId="0" xfId="0" applyNumberFormat="1" applyFont="1" applyFill="1" applyAlignment="1">
      <alignment vertical="center"/>
    </xf>
    <xf numFmtId="49" fontId="5" fillId="3" borderId="0" xfId="0" applyNumberFormat="1" applyFont="1" applyFill="1" applyAlignment="1">
      <alignment vertical="center"/>
    </xf>
    <xf numFmtId="49" fontId="10" fillId="3" borderId="0" xfId="0" applyNumberFormat="1" applyFont="1" applyFill="1" applyAlignment="1">
      <alignment vertical="center"/>
    </xf>
    <xf numFmtId="49" fontId="10" fillId="3" borderId="11" xfId="0" applyNumberFormat="1" applyFont="1" applyFill="1" applyBorder="1" applyAlignment="1">
      <alignment horizontal="center" vertical="center"/>
    </xf>
    <xf numFmtId="178" fontId="12" fillId="3" borderId="11" xfId="0" applyNumberFormat="1" applyFont="1" applyFill="1" applyBorder="1" applyAlignment="1">
      <alignment horizontal="center" vertical="center"/>
    </xf>
    <xf numFmtId="178" fontId="6" fillId="3" borderId="11" xfId="0" applyNumberFormat="1" applyFont="1" applyFill="1" applyBorder="1" applyAlignment="1">
      <alignment horizontal="center" vertical="center"/>
    </xf>
    <xf numFmtId="177" fontId="3" fillId="3" borderId="0" xfId="0" applyNumberFormat="1" applyFont="1" applyFill="1" applyAlignment="1">
      <alignment vertical="center"/>
    </xf>
    <xf numFmtId="0" fontId="20" fillId="0" borderId="14" xfId="0" applyFont="1" applyBorder="1" applyAlignment="1">
      <alignment horizontal="center" vertical="center"/>
    </xf>
    <xf numFmtId="49" fontId="3" fillId="0" borderId="0" xfId="0" applyNumberFormat="1" applyFont="1" applyAlignment="1">
      <alignment vertical="center"/>
    </xf>
    <xf numFmtId="49" fontId="17" fillId="0" borderId="0" xfId="0" applyNumberFormat="1" applyFont="1" applyAlignment="1">
      <alignment vertical="center" shrinkToFit="1"/>
    </xf>
    <xf numFmtId="49" fontId="4" fillId="0" borderId="0" xfId="0" applyNumberFormat="1" applyFont="1" applyAlignment="1">
      <alignment vertical="center"/>
    </xf>
    <xf numFmtId="49" fontId="18" fillId="0" borderId="0" xfId="0" applyNumberFormat="1" applyFont="1" applyAlignment="1">
      <alignment vertical="center"/>
    </xf>
    <xf numFmtId="49" fontId="23" fillId="0" borderId="15" xfId="0" applyNumberFormat="1" applyFont="1" applyBorder="1" applyAlignment="1" applyProtection="1">
      <alignment horizontal="center" vertical="center" shrinkToFit="1"/>
      <protection locked="0"/>
    </xf>
    <xf numFmtId="0" fontId="12" fillId="0" borderId="16" xfId="0" applyFont="1" applyBorder="1" applyAlignment="1">
      <alignment horizontal="center" vertical="center" shrinkToFit="1"/>
    </xf>
    <xf numFmtId="0" fontId="12" fillId="0" borderId="18" xfId="0" applyFont="1" applyBorder="1" applyAlignment="1">
      <alignment horizontal="center" vertical="center" shrinkToFit="1"/>
    </xf>
    <xf numFmtId="49" fontId="12" fillId="0" borderId="2" xfId="0" applyNumberFormat="1" applyFont="1" applyBorder="1" applyAlignment="1">
      <alignment horizontal="center" vertical="center" shrinkToFit="1"/>
    </xf>
    <xf numFmtId="0" fontId="12" fillId="0" borderId="8" xfId="0" applyFont="1" applyBorder="1" applyAlignment="1">
      <alignment horizontal="center" vertical="center" shrinkToFit="1"/>
    </xf>
    <xf numFmtId="49" fontId="12" fillId="0" borderId="8" xfId="0" applyNumberFormat="1" applyFont="1" applyBorder="1" applyAlignment="1">
      <alignment horizontal="center" vertical="center" shrinkToFit="1"/>
    </xf>
    <xf numFmtId="49" fontId="10" fillId="0" borderId="0" xfId="0" applyNumberFormat="1" applyFont="1" applyAlignment="1">
      <alignment vertical="center"/>
    </xf>
    <xf numFmtId="49" fontId="10" fillId="0" borderId="11" xfId="0" applyNumberFormat="1" applyFont="1" applyBorder="1" applyAlignment="1">
      <alignment horizontal="center" vertical="center"/>
    </xf>
    <xf numFmtId="178" fontId="12" fillId="0" borderId="11" xfId="0" applyNumberFormat="1" applyFont="1" applyBorder="1" applyAlignment="1">
      <alignment horizontal="center" vertical="center"/>
    </xf>
    <xf numFmtId="178" fontId="6" fillId="0" borderId="11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vertical="center"/>
    </xf>
    <xf numFmtId="49" fontId="14" fillId="2" borderId="9" xfId="0" applyNumberFormat="1" applyFont="1" applyFill="1" applyBorder="1" applyAlignment="1">
      <alignment horizontal="center" vertical="center"/>
    </xf>
    <xf numFmtId="49" fontId="26" fillId="2" borderId="0" xfId="0" applyNumberFormat="1" applyFont="1" applyFill="1" applyAlignment="1">
      <alignment horizontal="center" vertical="center"/>
    </xf>
    <xf numFmtId="49" fontId="26" fillId="2" borderId="0" xfId="0" applyNumberFormat="1" applyFont="1" applyFill="1" applyAlignment="1">
      <alignment vertical="center"/>
    </xf>
    <xf numFmtId="49" fontId="26" fillId="2" borderId="0" xfId="0" applyNumberFormat="1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49" fontId="26" fillId="0" borderId="0" xfId="0" applyNumberFormat="1" applyFont="1" applyAlignment="1">
      <alignment vertical="center"/>
    </xf>
    <xf numFmtId="49" fontId="26" fillId="0" borderId="0" xfId="0" applyNumberFormat="1" applyFont="1" applyAlignment="1">
      <alignment horizontal="left"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4" fillId="0" borderId="0" xfId="0" applyFont="1"/>
    <xf numFmtId="1" fontId="26" fillId="0" borderId="0" xfId="0" applyNumberFormat="1" applyFont="1" applyAlignment="1">
      <alignment horizontal="left" vertical="center" shrinkToFit="1"/>
    </xf>
    <xf numFmtId="49" fontId="26" fillId="0" borderId="0" xfId="0" applyNumberFormat="1" applyFont="1" applyAlignment="1">
      <alignment horizontal="left" vertical="center" shrinkToFit="1"/>
    </xf>
    <xf numFmtId="49" fontId="26" fillId="4" borderId="0" xfId="0" applyNumberFormat="1" applyFont="1" applyFill="1" applyAlignment="1">
      <alignment vertical="center"/>
    </xf>
    <xf numFmtId="49" fontId="26" fillId="4" borderId="0" xfId="0" applyNumberFormat="1" applyFont="1" applyFill="1" applyAlignment="1">
      <alignment horizontal="left" vertical="center" shrinkToFit="1"/>
    </xf>
    <xf numFmtId="0" fontId="24" fillId="0" borderId="0" xfId="0" applyFont="1" applyAlignment="1">
      <alignment vertical="center"/>
    </xf>
    <xf numFmtId="0" fontId="26" fillId="0" borderId="0" xfId="0" applyFont="1" applyAlignment="1">
      <alignment horizontal="right" vertical="center"/>
    </xf>
    <xf numFmtId="180" fontId="24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49" fontId="26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 wrapText="1"/>
    </xf>
    <xf numFmtId="49" fontId="24" fillId="0" borderId="21" xfId="0" applyNumberFormat="1" applyFont="1" applyBorder="1" applyAlignment="1" applyProtection="1">
      <alignment horizontal="center" vertical="center" shrinkToFit="1"/>
      <protection locked="0"/>
    </xf>
    <xf numFmtId="49" fontId="24" fillId="0" borderId="21" xfId="0" applyNumberFormat="1" applyFont="1" applyBorder="1" applyAlignment="1" applyProtection="1">
      <alignment horizontal="center" vertical="center"/>
      <protection locked="0"/>
    </xf>
    <xf numFmtId="49" fontId="20" fillId="0" borderId="21" xfId="0" applyNumberFormat="1" applyFont="1" applyBorder="1" applyAlignment="1" applyProtection="1">
      <alignment horizontal="center" vertical="center"/>
      <protection locked="0"/>
    </xf>
    <xf numFmtId="0" fontId="24" fillId="0" borderId="22" xfId="0" applyFont="1" applyBorder="1" applyAlignment="1">
      <alignment horizontal="center" vertical="center"/>
    </xf>
    <xf numFmtId="49" fontId="24" fillId="0" borderId="23" xfId="0" applyNumberFormat="1" applyFont="1" applyBorder="1" applyAlignment="1" applyProtection="1">
      <alignment horizontal="center" vertical="center"/>
      <protection locked="0"/>
    </xf>
    <xf numFmtId="49" fontId="20" fillId="0" borderId="22" xfId="0" applyNumberFormat="1" applyFont="1" applyBorder="1" applyAlignment="1" applyProtection="1">
      <alignment horizontal="center" vertical="center" shrinkToFit="1"/>
      <protection locked="0"/>
    </xf>
    <xf numFmtId="0" fontId="20" fillId="0" borderId="24" xfId="0" applyFont="1" applyBorder="1" applyAlignment="1">
      <alignment horizontal="center" vertical="center"/>
    </xf>
    <xf numFmtId="49" fontId="24" fillId="0" borderId="14" xfId="0" applyNumberFormat="1" applyFont="1" applyBorder="1" applyAlignment="1">
      <alignment horizontal="center" vertical="center"/>
    </xf>
    <xf numFmtId="0" fontId="24" fillId="0" borderId="14" xfId="0" applyFont="1" applyBorder="1" applyAlignment="1">
      <alignment vertical="center"/>
    </xf>
    <xf numFmtId="0" fontId="20" fillId="0" borderId="25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0" borderId="24" xfId="0" applyFont="1" applyBorder="1" applyAlignment="1">
      <alignment horizontal="left" vertical="center"/>
    </xf>
    <xf numFmtId="0" fontId="24" fillId="0" borderId="14" xfId="0" applyFont="1" applyBorder="1" applyAlignment="1">
      <alignment horizontal="left" vertical="center"/>
    </xf>
    <xf numFmtId="0" fontId="31" fillId="0" borderId="0" xfId="0" applyFont="1" applyAlignment="1">
      <alignment vertical="center"/>
    </xf>
    <xf numFmtId="49" fontId="22" fillId="0" borderId="7" xfId="0" applyNumberFormat="1" applyFont="1" applyBorder="1" applyAlignment="1" applyProtection="1">
      <alignment horizontal="center" vertical="center" shrinkToFit="1"/>
      <protection locked="0"/>
    </xf>
    <xf numFmtId="49" fontId="3" fillId="2" borderId="26" xfId="0" applyNumberFormat="1" applyFont="1" applyFill="1" applyBorder="1" applyAlignment="1">
      <alignment vertical="center"/>
    </xf>
    <xf numFmtId="49" fontId="22" fillId="0" borderId="27" xfId="0" applyNumberFormat="1" applyFont="1" applyBorder="1" applyAlignment="1" applyProtection="1">
      <alignment horizontal="center" vertical="center" shrinkToFit="1"/>
      <protection locked="0"/>
    </xf>
    <xf numFmtId="0" fontId="33" fillId="0" borderId="0" xfId="0" applyFont="1" applyAlignment="1">
      <alignment horizontal="center" vertical="center"/>
    </xf>
    <xf numFmtId="0" fontId="20" fillId="0" borderId="2" xfId="0" applyFont="1" applyBorder="1" applyAlignment="1" applyProtection="1">
      <alignment horizontal="center" vertical="center" shrinkToFit="1"/>
      <protection locked="0"/>
    </xf>
    <xf numFmtId="0" fontId="20" fillId="0" borderId="15" xfId="0" applyFont="1" applyBorder="1" applyAlignment="1" applyProtection="1">
      <alignment horizontal="center" vertical="center" shrinkToFit="1"/>
      <protection locked="0"/>
    </xf>
    <xf numFmtId="0" fontId="20" fillId="0" borderId="8" xfId="0" applyFont="1" applyBorder="1" applyAlignment="1" applyProtection="1">
      <alignment horizontal="center" vertical="center" shrinkToFit="1"/>
      <protection locked="0"/>
    </xf>
    <xf numFmtId="0" fontId="20" fillId="0" borderId="28" xfId="0" applyFont="1" applyBorder="1" applyAlignment="1" applyProtection="1">
      <alignment horizontal="center" vertical="center" shrinkToFit="1"/>
      <protection locked="0"/>
    </xf>
    <xf numFmtId="0" fontId="20" fillId="0" borderId="18" xfId="0" applyFont="1" applyBorder="1" applyAlignment="1" applyProtection="1">
      <alignment horizontal="center" vertical="center" shrinkToFit="1"/>
      <protection locked="0"/>
    </xf>
    <xf numFmtId="0" fontId="20" fillId="0" borderId="29" xfId="0" applyFont="1" applyBorder="1" applyAlignment="1" applyProtection="1">
      <alignment horizontal="center" vertical="center" shrinkToFit="1"/>
      <protection locked="0"/>
    </xf>
    <xf numFmtId="0" fontId="20" fillId="0" borderId="7" xfId="0" applyFont="1" applyBorder="1" applyAlignment="1" applyProtection="1">
      <alignment horizontal="center" vertical="center" shrinkToFit="1"/>
      <protection locked="0"/>
    </xf>
    <xf numFmtId="0" fontId="20" fillId="0" borderId="27" xfId="0" applyFont="1" applyBorder="1" applyAlignment="1" applyProtection="1">
      <alignment horizontal="center" vertical="center" shrinkToFit="1"/>
      <protection locked="0"/>
    </xf>
    <xf numFmtId="1" fontId="26" fillId="0" borderId="0" xfId="0" applyNumberFormat="1" applyFont="1" applyAlignment="1">
      <alignment horizontal="center" vertical="center" shrinkToFit="1"/>
    </xf>
    <xf numFmtId="49" fontId="26" fillId="0" borderId="0" xfId="0" applyNumberFormat="1" applyFont="1" applyAlignment="1">
      <alignment horizontal="center" vertical="center" shrinkToFit="1"/>
    </xf>
    <xf numFmtId="0" fontId="28" fillId="0" borderId="0" xfId="0" applyFont="1" applyAlignment="1">
      <alignment horizontal="center" vertical="center"/>
    </xf>
    <xf numFmtId="0" fontId="12" fillId="0" borderId="30" xfId="0" applyFont="1" applyBorder="1" applyAlignment="1">
      <alignment horizontal="center" vertical="center" shrinkToFit="1"/>
    </xf>
    <xf numFmtId="0" fontId="12" fillId="0" borderId="32" xfId="0" applyFont="1" applyBorder="1" applyAlignment="1">
      <alignment horizontal="center" vertical="center" shrinkToFit="1"/>
    </xf>
    <xf numFmtId="49" fontId="35" fillId="0" borderId="0" xfId="0" applyNumberFormat="1" applyFont="1" applyAlignment="1">
      <alignment vertical="center"/>
    </xf>
    <xf numFmtId="49" fontId="5" fillId="0" borderId="0" xfId="0" applyNumberFormat="1" applyFont="1" applyAlignment="1">
      <alignment horizontal="left" vertical="center"/>
    </xf>
    <xf numFmtId="0" fontId="24" fillId="4" borderId="0" xfId="0" applyFont="1" applyFill="1" applyAlignment="1">
      <alignment vertical="center"/>
    </xf>
    <xf numFmtId="0" fontId="2" fillId="0" borderId="0" xfId="1" applyAlignment="1" applyProtection="1">
      <alignment horizontal="left" vertical="center"/>
    </xf>
    <xf numFmtId="14" fontId="24" fillId="0" borderId="0" xfId="0" applyNumberFormat="1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0" fontId="12" fillId="5" borderId="6" xfId="0" applyFont="1" applyFill="1" applyBorder="1" applyAlignment="1">
      <alignment horizontal="center" vertical="center" shrinkToFit="1"/>
    </xf>
    <xf numFmtId="49" fontId="8" fillId="5" borderId="15" xfId="0" applyNumberFormat="1" applyFont="1" applyFill="1" applyBorder="1" applyAlignment="1" applyProtection="1">
      <alignment horizontal="center" vertical="center" shrinkToFit="1"/>
      <protection locked="0"/>
    </xf>
    <xf numFmtId="0" fontId="12" fillId="5" borderId="1" xfId="0" applyFont="1" applyFill="1" applyBorder="1" applyAlignment="1">
      <alignment horizontal="center" vertical="center" shrinkToFit="1"/>
    </xf>
    <xf numFmtId="49" fontId="8" fillId="5" borderId="28" xfId="0" applyNumberFormat="1" applyFont="1" applyFill="1" applyBorder="1" applyAlignment="1" applyProtection="1">
      <alignment horizontal="center" vertical="center" shrinkToFit="1"/>
      <protection locked="0"/>
    </xf>
    <xf numFmtId="0" fontId="6" fillId="5" borderId="6" xfId="0" applyFont="1" applyFill="1" applyBorder="1" applyAlignment="1">
      <alignment horizontal="center" vertical="center" shrinkToFit="1"/>
    </xf>
    <xf numFmtId="0" fontId="6" fillId="5" borderId="1" xfId="0" applyFont="1" applyFill="1" applyBorder="1" applyAlignment="1">
      <alignment horizontal="center" vertical="center" shrinkToFit="1"/>
    </xf>
    <xf numFmtId="49" fontId="6" fillId="5" borderId="1" xfId="0" applyNumberFormat="1" applyFont="1" applyFill="1" applyBorder="1" applyAlignment="1">
      <alignment horizontal="center" vertical="center" shrinkToFit="1"/>
    </xf>
    <xf numFmtId="0" fontId="12" fillId="5" borderId="9" xfId="0" applyFont="1" applyFill="1" applyBorder="1" applyAlignment="1">
      <alignment horizontal="center" vertical="center" shrinkToFit="1"/>
    </xf>
    <xf numFmtId="49" fontId="6" fillId="5" borderId="9" xfId="0" applyNumberFormat="1" applyFont="1" applyFill="1" applyBorder="1" applyAlignment="1">
      <alignment horizontal="center" vertical="center" shrinkToFit="1"/>
    </xf>
    <xf numFmtId="49" fontId="24" fillId="5" borderId="24" xfId="0" applyNumberFormat="1" applyFont="1" applyFill="1" applyBorder="1" applyAlignment="1">
      <alignment horizontal="center" vertical="center"/>
    </xf>
    <xf numFmtId="49" fontId="24" fillId="5" borderId="25" xfId="0" applyNumberFormat="1" applyFont="1" applyFill="1" applyBorder="1" applyAlignment="1">
      <alignment horizontal="center" vertical="center"/>
    </xf>
    <xf numFmtId="49" fontId="24" fillId="5" borderId="14" xfId="0" applyNumberFormat="1" applyFont="1" applyFill="1" applyBorder="1" applyAlignment="1">
      <alignment horizontal="center" vertical="center"/>
    </xf>
    <xf numFmtId="0" fontId="20" fillId="5" borderId="24" xfId="0" applyFont="1" applyFill="1" applyBorder="1" applyAlignment="1">
      <alignment horizontal="center" vertical="center"/>
    </xf>
    <xf numFmtId="0" fontId="20" fillId="5" borderId="25" xfId="0" applyFont="1" applyFill="1" applyBorder="1" applyAlignment="1">
      <alignment horizontal="center" vertical="center"/>
    </xf>
    <xf numFmtId="0" fontId="20" fillId="5" borderId="14" xfId="0" applyFont="1" applyFill="1" applyBorder="1" applyAlignment="1">
      <alignment horizontal="center" vertical="center"/>
    </xf>
    <xf numFmtId="49" fontId="37" fillId="0" borderId="0" xfId="0" applyNumberFormat="1" applyFont="1" applyAlignment="1">
      <alignment vertical="center"/>
    </xf>
    <xf numFmtId="49" fontId="8" fillId="0" borderId="15" xfId="0" applyNumberFormat="1" applyFont="1" applyBorder="1" applyAlignment="1" applyProtection="1">
      <alignment horizontal="center" vertical="center" shrinkToFit="1"/>
      <protection locked="0"/>
    </xf>
    <xf numFmtId="49" fontId="8" fillId="0" borderId="28" xfId="0" applyNumberFormat="1" applyFont="1" applyBorder="1" applyAlignment="1" applyProtection="1">
      <alignment horizontal="center" vertical="center" shrinkToFit="1"/>
      <protection locked="0"/>
    </xf>
    <xf numFmtId="0" fontId="6" fillId="0" borderId="6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49" fontId="6" fillId="0" borderId="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horizontal="left" vertical="center"/>
    </xf>
    <xf numFmtId="0" fontId="38" fillId="0" borderId="0" xfId="0" applyFont="1" applyAlignment="1">
      <alignment horizontal="left" vertical="center"/>
    </xf>
    <xf numFmtId="49" fontId="39" fillId="2" borderId="0" xfId="0" applyNumberFormat="1" applyFont="1" applyFill="1" applyAlignment="1">
      <alignment horizontal="left" vertical="center"/>
    </xf>
    <xf numFmtId="0" fontId="39" fillId="0" borderId="0" xfId="0" applyFont="1" applyAlignment="1">
      <alignment vertical="center"/>
    </xf>
    <xf numFmtId="49" fontId="39" fillId="6" borderId="0" xfId="0" applyNumberFormat="1" applyFont="1" applyFill="1" applyAlignment="1">
      <alignment horizontal="left" vertical="center"/>
    </xf>
    <xf numFmtId="49" fontId="58" fillId="0" borderId="15" xfId="0" applyNumberFormat="1" applyFont="1" applyBorder="1" applyAlignment="1" applyProtection="1">
      <alignment horizontal="center" vertical="center" shrinkToFit="1"/>
      <protection locked="0"/>
    </xf>
    <xf numFmtId="49" fontId="21" fillId="0" borderId="0" xfId="0" applyNumberFormat="1" applyFont="1" applyAlignment="1">
      <alignment horizontal="center" vertical="center"/>
    </xf>
    <xf numFmtId="0" fontId="56" fillId="0" borderId="0" xfId="14">
      <alignment vertical="center"/>
    </xf>
    <xf numFmtId="0" fontId="56" fillId="8" borderId="33" xfId="14" applyFill="1" applyBorder="1">
      <alignment vertical="center"/>
    </xf>
    <xf numFmtId="0" fontId="56" fillId="8" borderId="34" xfId="14" applyFill="1" applyBorder="1">
      <alignment vertical="center"/>
    </xf>
    <xf numFmtId="0" fontId="56" fillId="8" borderId="35" xfId="14" applyFill="1" applyBorder="1">
      <alignment vertical="center"/>
    </xf>
    <xf numFmtId="0" fontId="56" fillId="8" borderId="36" xfId="14" applyFill="1" applyBorder="1">
      <alignment vertical="center"/>
    </xf>
    <xf numFmtId="0" fontId="56" fillId="8" borderId="0" xfId="14" applyFill="1">
      <alignment vertical="center"/>
    </xf>
    <xf numFmtId="0" fontId="56" fillId="8" borderId="37" xfId="14" applyFill="1" applyBorder="1">
      <alignment vertical="center"/>
    </xf>
    <xf numFmtId="0" fontId="56" fillId="8" borderId="38" xfId="14" applyFill="1" applyBorder="1">
      <alignment vertical="center"/>
    </xf>
    <xf numFmtId="0" fontId="56" fillId="8" borderId="39" xfId="14" applyFill="1" applyBorder="1">
      <alignment vertical="center"/>
    </xf>
    <xf numFmtId="0" fontId="56" fillId="8" borderId="40" xfId="14" applyFill="1" applyBorder="1">
      <alignment vertical="center"/>
    </xf>
    <xf numFmtId="0" fontId="56" fillId="0" borderId="41" xfId="14" applyBorder="1">
      <alignment vertical="center"/>
    </xf>
    <xf numFmtId="0" fontId="56" fillId="0" borderId="42" xfId="14" applyBorder="1">
      <alignment vertical="center"/>
    </xf>
    <xf numFmtId="0" fontId="56" fillId="0" borderId="43" xfId="14" applyBorder="1">
      <alignment vertical="center"/>
    </xf>
    <xf numFmtId="0" fontId="56" fillId="0" borderId="44" xfId="14" applyBorder="1">
      <alignment vertical="center"/>
    </xf>
    <xf numFmtId="0" fontId="56" fillId="0" borderId="45" xfId="14" applyBorder="1">
      <alignment vertical="center"/>
    </xf>
    <xf numFmtId="0" fontId="56" fillId="0" borderId="46" xfId="14" applyBorder="1">
      <alignment vertical="center"/>
    </xf>
    <xf numFmtId="0" fontId="56" fillId="0" borderId="47" xfId="14" applyBorder="1">
      <alignment vertical="center"/>
    </xf>
    <xf numFmtId="0" fontId="56" fillId="0" borderId="48" xfId="14" applyBorder="1">
      <alignment vertical="center"/>
    </xf>
    <xf numFmtId="0" fontId="56" fillId="0" borderId="49" xfId="14" applyBorder="1">
      <alignment vertical="center"/>
    </xf>
    <xf numFmtId="0" fontId="56" fillId="0" borderId="50" xfId="14" applyBorder="1">
      <alignment vertical="center"/>
    </xf>
    <xf numFmtId="0" fontId="56" fillId="0" borderId="51" xfId="14" applyBorder="1">
      <alignment vertical="center"/>
    </xf>
    <xf numFmtId="0" fontId="56" fillId="0" borderId="52" xfId="14" applyBorder="1">
      <alignment vertical="center"/>
    </xf>
    <xf numFmtId="0" fontId="56" fillId="0" borderId="53" xfId="14" applyBorder="1">
      <alignment vertical="center"/>
    </xf>
    <xf numFmtId="0" fontId="56" fillId="0" borderId="54" xfId="14" applyBorder="1">
      <alignment vertical="center"/>
    </xf>
    <xf numFmtId="0" fontId="56" fillId="0" borderId="55" xfId="14" applyBorder="1">
      <alignment vertical="center"/>
    </xf>
    <xf numFmtId="0" fontId="56" fillId="0" borderId="56" xfId="14" applyBorder="1">
      <alignment vertical="center"/>
    </xf>
    <xf numFmtId="0" fontId="56" fillId="0" borderId="57" xfId="14" applyBorder="1">
      <alignment vertical="center"/>
    </xf>
    <xf numFmtId="0" fontId="56" fillId="0" borderId="58" xfId="14" applyBorder="1">
      <alignment vertical="center"/>
    </xf>
    <xf numFmtId="0" fontId="56" fillId="0" borderId="59" xfId="14" applyBorder="1">
      <alignment vertical="center"/>
    </xf>
    <xf numFmtId="0" fontId="56" fillId="0" borderId="60" xfId="14" applyBorder="1">
      <alignment vertical="center"/>
    </xf>
    <xf numFmtId="0" fontId="56" fillId="0" borderId="61" xfId="14" applyBorder="1">
      <alignment vertical="center"/>
    </xf>
    <xf numFmtId="0" fontId="56" fillId="0" borderId="62" xfId="14" applyBorder="1">
      <alignment vertical="center"/>
    </xf>
    <xf numFmtId="0" fontId="56" fillId="0" borderId="63" xfId="14" applyBorder="1">
      <alignment vertical="center"/>
    </xf>
    <xf numFmtId="0" fontId="56" fillId="0" borderId="64" xfId="14" applyBorder="1">
      <alignment vertical="center"/>
    </xf>
    <xf numFmtId="0" fontId="56" fillId="0" borderId="65" xfId="14" applyBorder="1">
      <alignment vertical="center"/>
    </xf>
    <xf numFmtId="0" fontId="56" fillId="0" borderId="66" xfId="14" applyBorder="1">
      <alignment vertical="center"/>
    </xf>
    <xf numFmtId="0" fontId="56" fillId="0" borderId="67" xfId="14" applyBorder="1">
      <alignment vertical="center"/>
    </xf>
    <xf numFmtId="0" fontId="56" fillId="0" borderId="68" xfId="14" applyBorder="1">
      <alignment vertical="center"/>
    </xf>
    <xf numFmtId="0" fontId="56" fillId="0" borderId="69" xfId="14" applyBorder="1">
      <alignment vertical="center"/>
    </xf>
    <xf numFmtId="0" fontId="56" fillId="0" borderId="70" xfId="14" applyBorder="1">
      <alignment vertical="center"/>
    </xf>
    <xf numFmtId="0" fontId="56" fillId="0" borderId="71" xfId="14" applyBorder="1">
      <alignment vertical="center"/>
    </xf>
    <xf numFmtId="0" fontId="56" fillId="0" borderId="72" xfId="14" applyBorder="1">
      <alignment vertical="center"/>
    </xf>
    <xf numFmtId="0" fontId="56" fillId="0" borderId="73" xfId="14" applyBorder="1">
      <alignment vertical="center"/>
    </xf>
    <xf numFmtId="0" fontId="56" fillId="0" borderId="74" xfId="14" applyBorder="1">
      <alignment vertical="center"/>
    </xf>
    <xf numFmtId="0" fontId="56" fillId="0" borderId="75" xfId="14" applyBorder="1">
      <alignment vertical="center"/>
    </xf>
    <xf numFmtId="0" fontId="56" fillId="0" borderId="76" xfId="14" applyBorder="1">
      <alignment vertical="center"/>
    </xf>
    <xf numFmtId="0" fontId="56" fillId="0" borderId="77" xfId="14" applyBorder="1">
      <alignment vertical="center"/>
    </xf>
    <xf numFmtId="0" fontId="56" fillId="0" borderId="78" xfId="14" applyBorder="1">
      <alignment vertical="center"/>
    </xf>
    <xf numFmtId="0" fontId="56" fillId="0" borderId="79" xfId="14" applyBorder="1">
      <alignment vertical="center"/>
    </xf>
    <xf numFmtId="0" fontId="56" fillId="0" borderId="80" xfId="14" applyBorder="1">
      <alignment vertical="center"/>
    </xf>
    <xf numFmtId="0" fontId="56" fillId="0" borderId="81" xfId="14" applyBorder="1">
      <alignment vertical="center"/>
    </xf>
    <xf numFmtId="0" fontId="56" fillId="0" borderId="82" xfId="14" applyBorder="1">
      <alignment vertical="center"/>
    </xf>
    <xf numFmtId="0" fontId="56" fillId="0" borderId="83" xfId="14" applyBorder="1">
      <alignment vertical="center"/>
    </xf>
    <xf numFmtId="0" fontId="56" fillId="0" borderId="84" xfId="14" applyBorder="1">
      <alignment vertical="center"/>
    </xf>
    <xf numFmtId="0" fontId="56" fillId="0" borderId="85" xfId="14" applyBorder="1">
      <alignment vertical="center"/>
    </xf>
    <xf numFmtId="0" fontId="56" fillId="0" borderId="86" xfId="14" applyBorder="1">
      <alignment vertical="center"/>
    </xf>
    <xf numFmtId="0" fontId="56" fillId="0" borderId="87" xfId="14" applyBorder="1">
      <alignment vertical="center"/>
    </xf>
    <xf numFmtId="0" fontId="56" fillId="0" borderId="88" xfId="14" applyBorder="1">
      <alignment vertical="center"/>
    </xf>
    <xf numFmtId="0" fontId="56" fillId="0" borderId="89" xfId="14" applyBorder="1">
      <alignment vertical="center"/>
    </xf>
    <xf numFmtId="0" fontId="56" fillId="0" borderId="90" xfId="14" applyBorder="1">
      <alignment vertical="center"/>
    </xf>
    <xf numFmtId="0" fontId="56" fillId="0" borderId="91" xfId="14" applyBorder="1">
      <alignment vertical="center"/>
    </xf>
    <xf numFmtId="0" fontId="56" fillId="0" borderId="92" xfId="14" applyBorder="1">
      <alignment vertical="center"/>
    </xf>
    <xf numFmtId="0" fontId="59" fillId="0" borderId="93" xfId="14" applyFont="1" applyBorder="1" applyAlignment="1">
      <alignment horizontal="center" vertical="center" wrapText="1"/>
    </xf>
    <xf numFmtId="0" fontId="57" fillId="0" borderId="93" xfId="14" applyFont="1" applyBorder="1" applyAlignment="1">
      <alignment horizontal="center" vertical="center"/>
    </xf>
    <xf numFmtId="0" fontId="57" fillId="9" borderId="93" xfId="14" applyFont="1" applyFill="1" applyBorder="1" applyAlignment="1">
      <alignment horizontal="center" vertical="center"/>
    </xf>
    <xf numFmtId="0" fontId="60" fillId="0" borderId="94" xfId="14" applyFont="1" applyBorder="1" applyAlignment="1">
      <alignment horizontal="center" vertical="center"/>
    </xf>
    <xf numFmtId="0" fontId="60" fillId="0" borderId="95" xfId="14" applyFont="1" applyBorder="1" applyAlignment="1">
      <alignment horizontal="center" vertical="center"/>
    </xf>
    <xf numFmtId="0" fontId="60" fillId="0" borderId="96" xfId="14" applyFont="1" applyBorder="1" applyAlignment="1">
      <alignment horizontal="center" vertical="center"/>
    </xf>
    <xf numFmtId="0" fontId="60" fillId="0" borderId="97" xfId="14" applyFont="1" applyBorder="1" applyAlignment="1">
      <alignment horizontal="center" vertical="center"/>
    </xf>
    <xf numFmtId="0" fontId="60" fillId="0" borderId="98" xfId="14" applyFont="1" applyBorder="1" applyAlignment="1">
      <alignment horizontal="center" vertical="center"/>
    </xf>
    <xf numFmtId="0" fontId="61" fillId="0" borderId="93" xfId="14" applyFont="1" applyBorder="1" applyAlignment="1">
      <alignment horizontal="center" vertical="center"/>
    </xf>
    <xf numFmtId="0" fontId="56" fillId="0" borderId="99" xfId="14" applyBorder="1">
      <alignment vertical="center"/>
    </xf>
    <xf numFmtId="0" fontId="56" fillId="0" borderId="100" xfId="14" applyBorder="1">
      <alignment vertical="center"/>
    </xf>
    <xf numFmtId="0" fontId="56" fillId="0" borderId="101" xfId="14" applyBorder="1">
      <alignment vertical="center"/>
    </xf>
    <xf numFmtId="49" fontId="23" fillId="10" borderId="32" xfId="0" applyNumberFormat="1" applyFont="1" applyFill="1" applyBorder="1" applyAlignment="1" applyProtection="1">
      <alignment horizontal="center" vertical="center" shrinkToFit="1"/>
      <protection locked="0"/>
    </xf>
    <xf numFmtId="0" fontId="43" fillId="10" borderId="30" xfId="0" applyFont="1" applyFill="1" applyBorder="1" applyAlignment="1" applyProtection="1">
      <alignment horizontal="center" vertical="center" shrinkToFit="1"/>
      <protection locked="0"/>
    </xf>
    <xf numFmtId="49" fontId="22" fillId="10" borderId="32" xfId="0" applyNumberFormat="1" applyFont="1" applyFill="1" applyBorder="1" applyAlignment="1" applyProtection="1">
      <alignment horizontal="center" vertical="center" shrinkToFit="1"/>
      <protection locked="0"/>
    </xf>
    <xf numFmtId="49" fontId="23" fillId="0" borderId="32" xfId="0" applyNumberFormat="1" applyFont="1" applyBorder="1" applyAlignment="1" applyProtection="1">
      <alignment horizontal="center" vertical="center" shrinkToFit="1"/>
      <protection locked="0"/>
    </xf>
    <xf numFmtId="179" fontId="23" fillId="0" borderId="3" xfId="0" applyNumberFormat="1" applyFont="1" applyBorder="1" applyAlignment="1" applyProtection="1">
      <alignment vertical="center" shrinkToFit="1"/>
      <protection locked="0"/>
    </xf>
    <xf numFmtId="179" fontId="23" fillId="0" borderId="102" xfId="0" applyNumberFormat="1" applyFont="1" applyBorder="1" applyAlignment="1" applyProtection="1">
      <alignment vertical="center" shrinkToFit="1"/>
      <protection locked="0"/>
    </xf>
    <xf numFmtId="179" fontId="23" fillId="0" borderId="4" xfId="0" applyNumberFormat="1" applyFont="1" applyBorder="1" applyAlignment="1" applyProtection="1">
      <alignment vertical="center" shrinkToFit="1"/>
      <protection locked="0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49" fontId="47" fillId="0" borderId="4" xfId="0" applyNumberFormat="1" applyFont="1" applyBorder="1" applyAlignment="1" applyProtection="1">
      <alignment horizontal="center" vertical="center" shrinkToFit="1"/>
      <protection locked="0"/>
    </xf>
    <xf numFmtId="0" fontId="23" fillId="0" borderId="102" xfId="0" applyFont="1" applyBorder="1" applyAlignment="1" applyProtection="1">
      <alignment horizontal="center" vertical="center" shrinkToFit="1"/>
      <protection locked="0"/>
    </xf>
    <xf numFmtId="49" fontId="47" fillId="12" borderId="4" xfId="0" applyNumberFormat="1" applyFont="1" applyFill="1" applyBorder="1" applyAlignment="1" applyProtection="1">
      <alignment horizontal="center" vertical="center" shrinkToFit="1"/>
      <protection locked="0"/>
    </xf>
    <xf numFmtId="0" fontId="23" fillId="12" borderId="102" xfId="0" applyFont="1" applyFill="1" applyBorder="1" applyAlignment="1" applyProtection="1">
      <alignment horizontal="center" vertical="center" shrinkToFit="1"/>
      <protection locked="0"/>
    </xf>
    <xf numFmtId="49" fontId="23" fillId="12" borderId="32" xfId="0" applyNumberFormat="1" applyFont="1" applyFill="1" applyBorder="1" applyAlignment="1" applyProtection="1">
      <alignment horizontal="center" vertical="center" shrinkToFit="1"/>
      <protection locked="0"/>
    </xf>
    <xf numFmtId="49" fontId="23" fillId="11" borderId="32" xfId="0" applyNumberFormat="1" applyFont="1" applyFill="1" applyBorder="1" applyAlignment="1" applyProtection="1">
      <alignment horizontal="center" vertical="center" shrinkToFit="1"/>
      <protection locked="0"/>
    </xf>
    <xf numFmtId="0" fontId="43" fillId="12" borderId="102" xfId="0" applyFont="1" applyFill="1" applyBorder="1" applyAlignment="1" applyProtection="1">
      <alignment horizontal="center" vertical="center" shrinkToFit="1"/>
      <protection locked="0"/>
    </xf>
    <xf numFmtId="49" fontId="43" fillId="11" borderId="103" xfId="0" applyNumberFormat="1" applyFont="1" applyFill="1" applyBorder="1" applyAlignment="1" applyProtection="1">
      <alignment horizontal="center" vertical="center" shrinkToFit="1"/>
      <protection locked="0"/>
    </xf>
    <xf numFmtId="49" fontId="43" fillId="11" borderId="9" xfId="0" applyNumberFormat="1" applyFont="1" applyFill="1" applyBorder="1" applyAlignment="1" applyProtection="1">
      <alignment horizontal="center" vertical="center" shrinkToFit="1"/>
      <protection locked="0"/>
    </xf>
    <xf numFmtId="0" fontId="44" fillId="12" borderId="104" xfId="0" applyFont="1" applyFill="1" applyBorder="1" applyAlignment="1">
      <alignment horizontal="center" vertical="center"/>
    </xf>
    <xf numFmtId="49" fontId="43" fillId="12" borderId="105" xfId="0" applyNumberFormat="1" applyFont="1" applyFill="1" applyBorder="1" applyAlignment="1" applyProtection="1">
      <alignment horizontal="center" vertical="center" shrinkToFit="1"/>
      <protection locked="0"/>
    </xf>
    <xf numFmtId="49" fontId="43" fillId="12" borderId="32" xfId="0" applyNumberFormat="1" applyFont="1" applyFill="1" applyBorder="1" applyAlignment="1" applyProtection="1">
      <alignment horizontal="center" vertical="center" shrinkToFit="1"/>
      <protection locked="0"/>
    </xf>
    <xf numFmtId="0" fontId="12" fillId="14" borderId="7" xfId="0" applyFont="1" applyFill="1" applyBorder="1" applyAlignment="1">
      <alignment horizontal="center" vertical="center" shrinkToFit="1"/>
    </xf>
    <xf numFmtId="0" fontId="12" fillId="14" borderId="2" xfId="0" applyFont="1" applyFill="1" applyBorder="1" applyAlignment="1">
      <alignment horizontal="center" vertical="center" shrinkToFit="1"/>
    </xf>
    <xf numFmtId="49" fontId="12" fillId="14" borderId="2" xfId="0" applyNumberFormat="1" applyFont="1" applyFill="1" applyBorder="1" applyAlignment="1">
      <alignment horizontal="center" vertical="center" shrinkToFit="1"/>
    </xf>
    <xf numFmtId="49" fontId="12" fillId="14" borderId="8" xfId="0" applyNumberFormat="1" applyFont="1" applyFill="1" applyBorder="1" applyAlignment="1">
      <alignment horizontal="center" vertical="center" shrinkToFit="1"/>
    </xf>
    <xf numFmtId="0" fontId="56" fillId="0" borderId="14" xfId="14" applyBorder="1">
      <alignment vertical="center"/>
    </xf>
    <xf numFmtId="49" fontId="56" fillId="0" borderId="14" xfId="14" applyNumberFormat="1" applyBorder="1" applyAlignment="1">
      <alignment horizontal="center" vertical="center"/>
    </xf>
    <xf numFmtId="49" fontId="23" fillId="0" borderId="106" xfId="0" applyNumberFormat="1" applyFont="1" applyBorder="1" applyAlignment="1" applyProtection="1">
      <alignment horizontal="center" vertical="center" shrinkToFit="1"/>
      <protection locked="0"/>
    </xf>
    <xf numFmtId="0" fontId="43" fillId="0" borderId="107" xfId="0" applyFont="1" applyBorder="1" applyAlignment="1" applyProtection="1">
      <alignment horizontal="center" vertical="center" shrinkToFit="1"/>
      <protection locked="0"/>
    </xf>
    <xf numFmtId="49" fontId="22" fillId="0" borderId="108" xfId="0" applyNumberFormat="1" applyFont="1" applyBorder="1" applyAlignment="1" applyProtection="1">
      <alignment horizontal="center" vertical="center" shrinkToFit="1"/>
      <protection locked="0"/>
    </xf>
    <xf numFmtId="49" fontId="22" fillId="0" borderId="109" xfId="0" applyNumberFormat="1" applyFont="1" applyBorder="1" applyAlignment="1" applyProtection="1">
      <alignment horizontal="center" vertical="center" shrinkToFit="1"/>
      <protection locked="0"/>
    </xf>
    <xf numFmtId="0" fontId="43" fillId="0" borderId="30" xfId="0" applyFont="1" applyBorder="1" applyAlignment="1" applyProtection="1">
      <alignment horizontal="center" vertical="center" shrinkToFit="1"/>
      <protection locked="0"/>
    </xf>
    <xf numFmtId="49" fontId="23" fillId="0" borderId="110" xfId="0" applyNumberFormat="1" applyFont="1" applyBorder="1" applyAlignment="1" applyProtection="1">
      <alignment horizontal="center" vertical="center" shrinkToFit="1"/>
      <protection locked="0"/>
    </xf>
    <xf numFmtId="49" fontId="23" fillId="0" borderId="111" xfId="0" applyNumberFormat="1" applyFont="1" applyBorder="1" applyAlignment="1" applyProtection="1">
      <alignment horizontal="center" vertical="center" shrinkToFit="1"/>
      <protection locked="0"/>
    </xf>
    <xf numFmtId="181" fontId="43" fillId="0" borderId="112" xfId="0" applyNumberFormat="1" applyFont="1" applyBorder="1" applyAlignment="1" applyProtection="1">
      <alignment vertical="center" shrinkToFit="1"/>
      <protection locked="0"/>
    </xf>
    <xf numFmtId="181" fontId="43" fillId="0" borderId="1" xfId="0" applyNumberFormat="1" applyFont="1" applyBorder="1" applyAlignment="1" applyProtection="1">
      <alignment vertical="center" shrinkToFit="1"/>
      <protection locked="0"/>
    </xf>
    <xf numFmtId="181" fontId="43" fillId="0" borderId="113" xfId="0" applyNumberFormat="1" applyFont="1" applyBorder="1" applyAlignment="1" applyProtection="1">
      <alignment vertical="center" shrinkToFit="1"/>
      <protection locked="0"/>
    </xf>
    <xf numFmtId="49" fontId="47" fillId="0" borderId="32" xfId="0" applyNumberFormat="1" applyFont="1" applyBorder="1" applyAlignment="1" applyProtection="1">
      <alignment horizontal="center" vertical="center" shrinkToFit="1"/>
      <protection locked="0"/>
    </xf>
    <xf numFmtId="0" fontId="43" fillId="0" borderId="115" xfId="0" applyFont="1" applyBorder="1" applyAlignment="1" applyProtection="1">
      <alignment horizontal="center" vertical="center" shrinkToFit="1"/>
      <protection locked="0"/>
    </xf>
    <xf numFmtId="49" fontId="47" fillId="0" borderId="114" xfId="0" applyNumberFormat="1" applyFont="1" applyBorder="1" applyAlignment="1" applyProtection="1">
      <alignment horizontal="center" vertical="center" shrinkToFit="1"/>
      <protection locked="0"/>
    </xf>
    <xf numFmtId="49" fontId="23" fillId="0" borderId="116" xfId="0" applyNumberFormat="1" applyFont="1" applyBorder="1" applyAlignment="1" applyProtection="1">
      <alignment horizontal="center" vertical="center" shrinkToFit="1"/>
      <protection locked="0"/>
    </xf>
    <xf numFmtId="49" fontId="23" fillId="11" borderId="110" xfId="0" applyNumberFormat="1" applyFont="1" applyFill="1" applyBorder="1" applyAlignment="1" applyProtection="1">
      <alignment horizontal="center" vertical="center" shrinkToFit="1"/>
      <protection locked="0"/>
    </xf>
    <xf numFmtId="49" fontId="47" fillId="12" borderId="114" xfId="0" applyNumberFormat="1" applyFont="1" applyFill="1" applyBorder="1" applyAlignment="1" applyProtection="1">
      <alignment horizontal="center" vertical="center" shrinkToFit="1"/>
      <protection locked="0"/>
    </xf>
    <xf numFmtId="0" fontId="43" fillId="12" borderId="115" xfId="0" applyFont="1" applyFill="1" applyBorder="1" applyAlignment="1" applyProtection="1">
      <alignment horizontal="center" vertical="center" shrinkToFit="1"/>
      <protection locked="0"/>
    </xf>
    <xf numFmtId="49" fontId="23" fillId="12" borderId="110" xfId="0" applyNumberFormat="1" applyFont="1" applyFill="1" applyBorder="1" applyAlignment="1" applyProtection="1">
      <alignment horizontal="center" vertical="center" shrinkToFit="1"/>
      <protection locked="0"/>
    </xf>
    <xf numFmtId="49" fontId="22" fillId="10" borderId="110" xfId="0" applyNumberFormat="1" applyFont="1" applyFill="1" applyBorder="1" applyAlignment="1" applyProtection="1">
      <alignment horizontal="center" vertical="center" shrinkToFit="1"/>
      <protection locked="0"/>
    </xf>
    <xf numFmtId="49" fontId="43" fillId="11" borderId="117" xfId="0" applyNumberFormat="1" applyFont="1" applyFill="1" applyBorder="1" applyAlignment="1" applyProtection="1">
      <alignment horizontal="center" vertical="center" shrinkToFit="1"/>
      <protection locked="0"/>
    </xf>
    <xf numFmtId="49" fontId="43" fillId="12" borderId="110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horizontal="center" vertical="center"/>
    </xf>
    <xf numFmtId="0" fontId="0" fillId="0" borderId="118" xfId="0" applyBorder="1"/>
    <xf numFmtId="49" fontId="43" fillId="14" borderId="103" xfId="0" applyNumberFormat="1" applyFont="1" applyFill="1" applyBorder="1" applyAlignment="1" applyProtection="1">
      <alignment horizontal="center" vertical="center" shrinkToFit="1"/>
      <protection locked="0"/>
    </xf>
    <xf numFmtId="49" fontId="43" fillId="14" borderId="9" xfId="0" applyNumberFormat="1" applyFont="1" applyFill="1" applyBorder="1" applyAlignment="1" applyProtection="1">
      <alignment horizontal="center" vertical="center" shrinkToFit="1"/>
      <protection locked="0"/>
    </xf>
    <xf numFmtId="49" fontId="43" fillId="14" borderId="117" xfId="0" applyNumberFormat="1" applyFont="1" applyFill="1" applyBorder="1" applyAlignment="1" applyProtection="1">
      <alignment horizontal="center" vertical="center" shrinkToFit="1"/>
      <protection locked="0"/>
    </xf>
    <xf numFmtId="0" fontId="44" fillId="14" borderId="104" xfId="0" applyFont="1" applyFill="1" applyBorder="1" applyAlignment="1">
      <alignment horizontal="center" vertical="center"/>
    </xf>
    <xf numFmtId="49" fontId="43" fillId="14" borderId="105" xfId="0" applyNumberFormat="1" applyFont="1" applyFill="1" applyBorder="1" applyAlignment="1" applyProtection="1">
      <alignment horizontal="center" vertical="center" shrinkToFit="1"/>
      <protection locked="0"/>
    </xf>
    <xf numFmtId="49" fontId="43" fillId="14" borderId="32" xfId="0" applyNumberFormat="1" applyFont="1" applyFill="1" applyBorder="1" applyAlignment="1" applyProtection="1">
      <alignment horizontal="center" vertical="center" shrinkToFit="1"/>
      <protection locked="0"/>
    </xf>
    <xf numFmtId="49" fontId="43" fillId="14" borderId="110" xfId="0" applyNumberFormat="1" applyFont="1" applyFill="1" applyBorder="1" applyAlignment="1" applyProtection="1">
      <alignment horizontal="center" vertical="center" shrinkToFit="1"/>
      <protection locked="0"/>
    </xf>
    <xf numFmtId="0" fontId="20" fillId="5" borderId="119" xfId="0" applyFont="1" applyFill="1" applyBorder="1" applyAlignment="1">
      <alignment horizontal="center" vertical="center"/>
    </xf>
    <xf numFmtId="0" fontId="21" fillId="0" borderId="120" xfId="0" applyFont="1" applyBorder="1" applyAlignment="1">
      <alignment shrinkToFit="1"/>
    </xf>
    <xf numFmtId="49" fontId="53" fillId="2" borderId="3" xfId="0" applyNumberFormat="1" applyFont="1" applyFill="1" applyBorder="1" applyAlignment="1">
      <alignment vertical="center"/>
    </xf>
    <xf numFmtId="49" fontId="3" fillId="2" borderId="1" xfId="0" applyNumberFormat="1" applyFont="1" applyFill="1" applyBorder="1" applyAlignment="1">
      <alignment horizontal="center" vertical="center" shrinkToFit="1"/>
    </xf>
    <xf numFmtId="49" fontId="3" fillId="3" borderId="121" xfId="0" applyNumberFormat="1" applyFont="1" applyFill="1" applyBorder="1" applyAlignment="1">
      <alignment vertical="center"/>
    </xf>
    <xf numFmtId="49" fontId="3" fillId="3" borderId="19" xfId="0" applyNumberFormat="1" applyFont="1" applyFill="1" applyBorder="1" applyAlignment="1">
      <alignment vertical="center"/>
    </xf>
    <xf numFmtId="49" fontId="3" fillId="3" borderId="122" xfId="0" applyNumberFormat="1" applyFont="1" applyFill="1" applyBorder="1" applyAlignment="1">
      <alignment vertical="center"/>
    </xf>
    <xf numFmtId="49" fontId="53" fillId="7" borderId="0" xfId="0" applyNumberFormat="1" applyFont="1" applyFill="1" applyAlignment="1">
      <alignment vertical="center"/>
    </xf>
    <xf numFmtId="49" fontId="53" fillId="7" borderId="5" xfId="0" applyNumberFormat="1" applyFont="1" applyFill="1" applyBorder="1" applyAlignment="1">
      <alignment vertical="center"/>
    </xf>
    <xf numFmtId="49" fontId="19" fillId="0" borderId="102" xfId="0" applyNumberFormat="1" applyFont="1" applyBorder="1" applyAlignment="1">
      <alignment horizontal="left" vertical="center" shrinkToFit="1"/>
    </xf>
    <xf numFmtId="49" fontId="19" fillId="0" borderId="1" xfId="0" applyNumberFormat="1" applyFont="1" applyBorder="1" applyAlignment="1">
      <alignment horizontal="center" vertical="center"/>
    </xf>
    <xf numFmtId="49" fontId="3" fillId="3" borderId="123" xfId="0" applyNumberFormat="1" applyFont="1" applyFill="1" applyBorder="1" applyAlignment="1">
      <alignment vertical="center"/>
    </xf>
    <xf numFmtId="49" fontId="3" fillId="3" borderId="5" xfId="0" applyNumberFormat="1" applyFont="1" applyFill="1" applyBorder="1" applyAlignment="1">
      <alignment vertical="center"/>
    </xf>
    <xf numFmtId="49" fontId="19" fillId="0" borderId="102" xfId="0" applyNumberFormat="1" applyFont="1" applyBorder="1" applyAlignment="1">
      <alignment vertical="center" shrinkToFit="1"/>
    </xf>
    <xf numFmtId="49" fontId="3" fillId="3" borderId="30" xfId="0" applyNumberFormat="1" applyFont="1" applyFill="1" applyBorder="1" applyAlignment="1">
      <alignment vertical="center"/>
    </xf>
    <xf numFmtId="49" fontId="3" fillId="3" borderId="12" xfId="0" applyNumberFormat="1" applyFont="1" applyFill="1" applyBorder="1" applyAlignment="1">
      <alignment vertical="center"/>
    </xf>
    <xf numFmtId="49" fontId="3" fillId="3" borderId="32" xfId="0" applyNumberFormat="1" applyFont="1" applyFill="1" applyBorder="1" applyAlignment="1">
      <alignment vertical="center"/>
    </xf>
    <xf numFmtId="49" fontId="53" fillId="7" borderId="12" xfId="0" applyNumberFormat="1" applyFont="1" applyFill="1" applyBorder="1" applyAlignment="1">
      <alignment vertical="center"/>
    </xf>
    <xf numFmtId="49" fontId="53" fillId="7" borderId="32" xfId="0" applyNumberFormat="1" applyFont="1" applyFill="1" applyBorder="1" applyAlignment="1">
      <alignment vertical="center"/>
    </xf>
    <xf numFmtId="49" fontId="3" fillId="3" borderId="102" xfId="0" applyNumberFormat="1" applyFont="1" applyFill="1" applyBorder="1" applyAlignment="1">
      <alignment vertical="center"/>
    </xf>
    <xf numFmtId="49" fontId="3" fillId="3" borderId="3" xfId="0" applyNumberFormat="1" applyFont="1" applyFill="1" applyBorder="1" applyAlignment="1">
      <alignment vertical="center"/>
    </xf>
    <xf numFmtId="49" fontId="3" fillId="3" borderId="4" xfId="0" applyNumberFormat="1" applyFont="1" applyFill="1" applyBorder="1" applyAlignment="1">
      <alignment vertical="center"/>
    </xf>
    <xf numFmtId="49" fontId="53" fillId="3" borderId="3" xfId="0" applyNumberFormat="1" applyFont="1" applyFill="1" applyBorder="1" applyAlignment="1">
      <alignment vertical="center"/>
    </xf>
    <xf numFmtId="49" fontId="53" fillId="3" borderId="4" xfId="0" applyNumberFormat="1" applyFont="1" applyFill="1" applyBorder="1" applyAlignment="1">
      <alignment vertical="center"/>
    </xf>
    <xf numFmtId="49" fontId="53" fillId="3" borderId="0" xfId="0" applyNumberFormat="1" applyFont="1" applyFill="1" applyAlignment="1">
      <alignment vertical="center"/>
    </xf>
    <xf numFmtId="49" fontId="53" fillId="3" borderId="5" xfId="0" applyNumberFormat="1" applyFont="1" applyFill="1" applyBorder="1" applyAlignment="1">
      <alignment vertical="center"/>
    </xf>
    <xf numFmtId="49" fontId="53" fillId="3" borderId="19" xfId="0" applyNumberFormat="1" applyFont="1" applyFill="1" applyBorder="1" applyAlignment="1">
      <alignment vertical="center"/>
    </xf>
    <xf numFmtId="49" fontId="53" fillId="3" borderId="122" xfId="0" applyNumberFormat="1" applyFont="1" applyFill="1" applyBorder="1" applyAlignment="1">
      <alignment vertical="center"/>
    </xf>
    <xf numFmtId="0" fontId="62" fillId="0" borderId="1" xfId="0" applyFont="1" applyBorder="1" applyAlignment="1">
      <alignment horizontal="center" vertical="center"/>
    </xf>
    <xf numFmtId="49" fontId="53" fillId="3" borderId="123" xfId="0" applyNumberFormat="1" applyFont="1" applyFill="1" applyBorder="1" applyAlignment="1">
      <alignment vertical="center"/>
    </xf>
    <xf numFmtId="0" fontId="0" fillId="0" borderId="0" xfId="0" applyAlignment="1">
      <alignment vertical="center" shrinkToFit="1"/>
    </xf>
    <xf numFmtId="0" fontId="0" fillId="0" borderId="5" xfId="0" applyBorder="1" applyAlignment="1">
      <alignment vertical="center" shrinkToFit="1"/>
    </xf>
    <xf numFmtId="49" fontId="54" fillId="3" borderId="0" xfId="0" applyNumberFormat="1" applyFont="1" applyFill="1" applyAlignment="1">
      <alignment vertical="center"/>
    </xf>
    <xf numFmtId="49" fontId="54" fillId="3" borderId="5" xfId="0" applyNumberFormat="1" applyFont="1" applyFill="1" applyBorder="1" applyAlignment="1">
      <alignment vertical="center"/>
    </xf>
    <xf numFmtId="49" fontId="54" fillId="3" borderId="19" xfId="0" applyNumberFormat="1" applyFont="1" applyFill="1" applyBorder="1" applyAlignment="1">
      <alignment vertical="center"/>
    </xf>
    <xf numFmtId="49" fontId="54" fillId="3" borderId="122" xfId="0" applyNumberFormat="1" applyFont="1" applyFill="1" applyBorder="1" applyAlignment="1">
      <alignment vertical="center"/>
    </xf>
    <xf numFmtId="49" fontId="53" fillId="3" borderId="12" xfId="0" applyNumberFormat="1" applyFont="1" applyFill="1" applyBorder="1" applyAlignment="1">
      <alignment vertical="center"/>
    </xf>
    <xf numFmtId="49" fontId="54" fillId="3" borderId="12" xfId="0" applyNumberFormat="1" applyFont="1" applyFill="1" applyBorder="1" applyAlignment="1">
      <alignment vertical="center"/>
    </xf>
    <xf numFmtId="49" fontId="54" fillId="3" borderId="32" xfId="0" applyNumberFormat="1" applyFont="1" applyFill="1" applyBorder="1" applyAlignment="1">
      <alignment vertical="center"/>
    </xf>
    <xf numFmtId="49" fontId="8" fillId="0" borderId="12" xfId="0" applyNumberFormat="1" applyFont="1" applyBorder="1" applyAlignment="1">
      <alignment vertical="center"/>
    </xf>
    <xf numFmtId="0" fontId="0" fillId="0" borderId="12" xfId="0" applyBorder="1" applyAlignment="1">
      <alignment vertical="center"/>
    </xf>
    <xf numFmtId="49" fontId="55" fillId="3" borderId="12" xfId="0" applyNumberFormat="1" applyFont="1" applyFill="1" applyBorder="1" applyAlignment="1">
      <alignment vertical="center"/>
    </xf>
    <xf numFmtId="49" fontId="8" fillId="2" borderId="102" xfId="0" applyNumberFormat="1" applyFont="1" applyFill="1" applyBorder="1" applyAlignment="1">
      <alignment vertical="center"/>
    </xf>
    <xf numFmtId="0" fontId="0" fillId="15" borderId="4" xfId="0" applyFill="1" applyBorder="1" applyAlignment="1">
      <alignment vertical="center"/>
    </xf>
    <xf numFmtId="49" fontId="55" fillId="3" borderId="102" xfId="0" applyNumberFormat="1" applyFont="1" applyFill="1" applyBorder="1" applyAlignment="1">
      <alignment vertical="center"/>
    </xf>
    <xf numFmtId="49" fontId="55" fillId="3" borderId="3" xfId="0" applyNumberFormat="1" applyFont="1" applyFill="1" applyBorder="1" applyAlignment="1">
      <alignment vertical="center"/>
    </xf>
    <xf numFmtId="49" fontId="55" fillId="3" borderId="4" xfId="0" applyNumberFormat="1" applyFont="1" applyFill="1" applyBorder="1" applyAlignment="1">
      <alignment vertical="center"/>
    </xf>
    <xf numFmtId="49" fontId="55" fillId="3" borderId="0" xfId="0" applyNumberFormat="1" applyFont="1" applyFill="1" applyAlignment="1">
      <alignment vertical="center"/>
    </xf>
    <xf numFmtId="49" fontId="55" fillId="3" borderId="123" xfId="0" applyNumberFormat="1" applyFont="1" applyFill="1" applyBorder="1" applyAlignment="1">
      <alignment vertical="center"/>
    </xf>
    <xf numFmtId="0" fontId="24" fillId="16" borderId="0" xfId="0" applyFont="1" applyFill="1" applyAlignment="1">
      <alignment vertical="center"/>
    </xf>
    <xf numFmtId="49" fontId="0" fillId="16" borderId="0" xfId="0" applyNumberFormat="1" applyFill="1" applyAlignment="1">
      <alignment horizontal="left" vertical="center"/>
    </xf>
    <xf numFmtId="0" fontId="20" fillId="14" borderId="14" xfId="0" applyFont="1" applyFill="1" applyBorder="1" applyAlignment="1">
      <alignment horizontal="center" vertical="center"/>
    </xf>
    <xf numFmtId="0" fontId="20" fillId="14" borderId="25" xfId="0" applyFont="1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vertical="center"/>
    </xf>
    <xf numFmtId="0" fontId="24" fillId="0" borderId="119" xfId="0" applyFont="1" applyBorder="1" applyAlignment="1">
      <alignment horizontal="center" vertical="center"/>
    </xf>
    <xf numFmtId="0" fontId="63" fillId="0" borderId="0" xfId="0" applyFont="1" applyAlignment="1">
      <alignment vertical="center" shrinkToFit="1"/>
    </xf>
    <xf numFmtId="14" fontId="24" fillId="19" borderId="0" xfId="0" applyNumberFormat="1" applyFont="1" applyFill="1" applyAlignment="1">
      <alignment horizontal="center" vertical="center"/>
    </xf>
    <xf numFmtId="49" fontId="24" fillId="19" borderId="0" xfId="0" applyNumberFormat="1" applyFont="1" applyFill="1" applyAlignment="1">
      <alignment horizontal="center" vertical="center"/>
    </xf>
    <xf numFmtId="0" fontId="0" fillId="19" borderId="0" xfId="0" applyFill="1" applyAlignment="1">
      <alignment vertical="center"/>
    </xf>
    <xf numFmtId="0" fontId="26" fillId="19" borderId="0" xfId="0" applyFont="1" applyFill="1" applyAlignment="1">
      <alignment vertical="center"/>
    </xf>
    <xf numFmtId="0" fontId="0" fillId="19" borderId="0" xfId="0" applyFill="1"/>
    <xf numFmtId="0" fontId="24" fillId="19" borderId="0" xfId="0" applyFont="1" applyFill="1"/>
    <xf numFmtId="49" fontId="26" fillId="19" borderId="0" xfId="0" applyNumberFormat="1" applyFont="1" applyFill="1" applyAlignment="1">
      <alignment horizontal="center" vertical="center"/>
    </xf>
    <xf numFmtId="0" fontId="39" fillId="19" borderId="0" xfId="0" applyFont="1" applyFill="1" applyAlignment="1">
      <alignment vertical="center"/>
    </xf>
    <xf numFmtId="0" fontId="24" fillId="19" borderId="0" xfId="0" applyFont="1" applyFill="1" applyAlignment="1">
      <alignment horizontal="center"/>
    </xf>
    <xf numFmtId="0" fontId="0" fillId="2" borderId="0" xfId="0" applyFill="1" applyAlignment="1">
      <alignment vertical="center"/>
    </xf>
    <xf numFmtId="49" fontId="26" fillId="16" borderId="0" xfId="0" applyNumberFormat="1" applyFont="1" applyFill="1" applyAlignment="1">
      <alignment vertical="center"/>
    </xf>
    <xf numFmtId="0" fontId="72" fillId="20" borderId="204" xfId="0" applyFont="1" applyFill="1" applyBorder="1" applyAlignment="1">
      <alignment horizontal="left" vertical="center" indent="1"/>
    </xf>
    <xf numFmtId="0" fontId="72" fillId="21" borderId="204" xfId="0" applyFont="1" applyFill="1" applyBorder="1" applyAlignment="1">
      <alignment horizontal="left" vertical="center" indent="1"/>
    </xf>
    <xf numFmtId="0" fontId="0" fillId="0" borderId="0" xfId="0" quotePrefix="1" applyAlignment="1">
      <alignment horizontal="left" vertical="center"/>
    </xf>
    <xf numFmtId="0" fontId="72" fillId="21" borderId="205" xfId="0" applyFont="1" applyFill="1" applyBorder="1" applyAlignment="1">
      <alignment horizontal="left" vertical="center" indent="1"/>
    </xf>
    <xf numFmtId="0" fontId="74" fillId="0" borderId="0" xfId="0" applyFont="1" applyAlignment="1">
      <alignment vertical="center"/>
    </xf>
    <xf numFmtId="0" fontId="73" fillId="22" borderId="205" xfId="0" applyFont="1" applyFill="1" applyBorder="1" applyAlignment="1">
      <alignment horizontal="center" vertical="center"/>
    </xf>
    <xf numFmtId="0" fontId="73" fillId="22" borderId="0" xfId="0" applyFont="1" applyFill="1" applyAlignment="1">
      <alignment horizontal="center" vertical="center"/>
    </xf>
    <xf numFmtId="0" fontId="75" fillId="23" borderId="206" xfId="0" applyFont="1" applyFill="1" applyBorder="1" applyAlignment="1">
      <alignment horizontal="center" vertical="center" wrapText="1"/>
    </xf>
    <xf numFmtId="0" fontId="72" fillId="20" borderId="207" xfId="0" applyFont="1" applyFill="1" applyBorder="1" applyAlignment="1">
      <alignment horizontal="left" vertical="center"/>
    </xf>
    <xf numFmtId="0" fontId="72" fillId="20" borderId="208" xfId="0" applyFont="1" applyFill="1" applyBorder="1" applyAlignment="1">
      <alignment horizontal="left" vertical="center"/>
    </xf>
    <xf numFmtId="0" fontId="72" fillId="21" borderId="208" xfId="0" applyFont="1" applyFill="1" applyBorder="1" applyAlignment="1">
      <alignment horizontal="left" vertical="center"/>
    </xf>
    <xf numFmtId="0" fontId="72" fillId="21" borderId="209" xfId="0" applyFont="1" applyFill="1" applyBorder="1" applyAlignment="1">
      <alignment horizontal="left" vertical="center"/>
    </xf>
    <xf numFmtId="0" fontId="75" fillId="23" borderId="206" xfId="0" applyFont="1" applyFill="1" applyBorder="1" applyAlignment="1">
      <alignment horizontal="center" vertical="center"/>
    </xf>
    <xf numFmtId="0" fontId="76" fillId="23" borderId="210" xfId="0" applyFont="1" applyFill="1" applyBorder="1" applyAlignment="1">
      <alignment horizontal="center" vertical="center" wrapText="1"/>
    </xf>
    <xf numFmtId="0" fontId="75" fillId="23" borderId="210" xfId="0" applyFont="1" applyFill="1" applyBorder="1" applyAlignment="1">
      <alignment horizontal="center" vertical="center" wrapText="1"/>
    </xf>
    <xf numFmtId="0" fontId="72" fillId="20" borderId="211" xfId="0" applyFont="1" applyFill="1" applyBorder="1" applyAlignment="1">
      <alignment horizontal="left" vertical="center"/>
    </xf>
    <xf numFmtId="0" fontId="76" fillId="23" borderId="206" xfId="0" applyFont="1" applyFill="1" applyBorder="1" applyAlignment="1">
      <alignment horizontal="center" vertical="center" wrapText="1"/>
    </xf>
    <xf numFmtId="0" fontId="72" fillId="24" borderId="208" xfId="0" applyFont="1" applyFill="1" applyBorder="1" applyAlignment="1">
      <alignment horizontal="left" vertical="center"/>
    </xf>
    <xf numFmtId="0" fontId="75" fillId="23" borderId="212" xfId="0" applyFont="1" applyFill="1" applyBorder="1" applyAlignment="1">
      <alignment horizontal="center" vertical="center"/>
    </xf>
    <xf numFmtId="0" fontId="77" fillId="0" borderId="0" xfId="14" applyFont="1">
      <alignment vertical="center"/>
    </xf>
    <xf numFmtId="0" fontId="72" fillId="21" borderId="213" xfId="0" applyFont="1" applyFill="1" applyBorder="1" applyAlignment="1">
      <alignment horizontal="left" vertical="center"/>
    </xf>
    <xf numFmtId="0" fontId="72" fillId="21" borderId="214" xfId="0" applyFont="1" applyFill="1" applyBorder="1" applyAlignment="1">
      <alignment horizontal="left" vertical="center"/>
    </xf>
    <xf numFmtId="0" fontId="75" fillId="23" borderId="215" xfId="0" applyFont="1" applyFill="1" applyBorder="1" applyAlignment="1">
      <alignment horizontal="center" vertical="center" wrapText="1"/>
    </xf>
    <xf numFmtId="0" fontId="72" fillId="24" borderId="214" xfId="0" applyFont="1" applyFill="1" applyBorder="1" applyAlignment="1">
      <alignment horizontal="left" vertical="center"/>
    </xf>
    <xf numFmtId="0" fontId="79" fillId="0" borderId="0" xfId="0" applyFont="1" applyAlignment="1">
      <alignment horizontal="center" vertical="center"/>
    </xf>
    <xf numFmtId="0" fontId="24" fillId="19" borderId="216" xfId="0" applyFont="1" applyFill="1" applyBorder="1"/>
    <xf numFmtId="0" fontId="72" fillId="21" borderId="217" xfId="0" applyFont="1" applyFill="1" applyBorder="1" applyAlignment="1">
      <alignment horizontal="left" vertical="center"/>
    </xf>
    <xf numFmtId="0" fontId="72" fillId="21" borderId="219" xfId="0" applyFont="1" applyFill="1" applyBorder="1" applyAlignment="1">
      <alignment horizontal="left" vertical="center" indent="1"/>
    </xf>
    <xf numFmtId="0" fontId="72" fillId="20" borderId="208" xfId="0" applyFont="1" applyFill="1" applyBorder="1" applyAlignment="1">
      <alignment vertical="center"/>
    </xf>
    <xf numFmtId="0" fontId="72" fillId="21" borderId="218" xfId="0" applyFont="1" applyFill="1" applyBorder="1" applyAlignment="1">
      <alignment vertical="center"/>
    </xf>
    <xf numFmtId="0" fontId="72" fillId="21" borderId="220" xfId="0" applyFont="1" applyFill="1" applyBorder="1" applyAlignment="1">
      <alignment horizontal="left" vertical="center"/>
    </xf>
    <xf numFmtId="49" fontId="43" fillId="14" borderId="6" xfId="0" applyNumberFormat="1" applyFont="1" applyFill="1" applyBorder="1" applyAlignment="1" applyProtection="1">
      <alignment horizontal="center" vertical="center" shrinkToFit="1"/>
      <protection locked="0"/>
    </xf>
    <xf numFmtId="49" fontId="43" fillId="12" borderId="6" xfId="0" applyNumberFormat="1" applyFont="1" applyFill="1" applyBorder="1" applyAlignment="1" applyProtection="1">
      <alignment horizontal="center" vertical="center" shrinkToFit="1"/>
      <protection locked="0"/>
    </xf>
    <xf numFmtId="49" fontId="23" fillId="12" borderId="114" xfId="0" applyNumberFormat="1" applyFont="1" applyFill="1" applyBorder="1" applyAlignment="1" applyProtection="1">
      <alignment horizontal="center" vertical="center" shrinkToFit="1"/>
      <protection locked="0"/>
    </xf>
    <xf numFmtId="0" fontId="43" fillId="0" borderId="102" xfId="0" applyFont="1" applyBorder="1" applyAlignment="1" applyProtection="1">
      <alignment horizontal="center" vertical="center" shrinkToFit="1"/>
      <protection locked="0"/>
    </xf>
    <xf numFmtId="49" fontId="23" fillId="0" borderId="114" xfId="0" applyNumberFormat="1" applyFont="1" applyBorder="1" applyAlignment="1" applyProtection="1">
      <alignment horizontal="center" vertical="center" shrinkToFit="1"/>
      <protection locked="0"/>
    </xf>
    <xf numFmtId="49" fontId="23" fillId="0" borderId="4" xfId="0" applyNumberFormat="1" applyFont="1" applyBorder="1" applyAlignment="1" applyProtection="1">
      <alignment horizontal="center" vertical="center" shrinkToFit="1"/>
      <protection locked="0"/>
    </xf>
    <xf numFmtId="0" fontId="12" fillId="0" borderId="12" xfId="0" applyFont="1" applyBorder="1" applyAlignment="1">
      <alignment horizontal="center" vertical="center" shrinkToFit="1"/>
    </xf>
    <xf numFmtId="0" fontId="6" fillId="0" borderId="13" xfId="0" applyFont="1" applyBorder="1" applyAlignment="1">
      <alignment horizontal="center" vertical="center" shrinkToFit="1"/>
    </xf>
    <xf numFmtId="49" fontId="10" fillId="2" borderId="10" xfId="0" applyNumberFormat="1" applyFont="1" applyFill="1" applyBorder="1" applyAlignment="1">
      <alignment horizontal="center" vertical="center" shrinkToFit="1"/>
    </xf>
    <xf numFmtId="0" fontId="12" fillId="0" borderId="3" xfId="0" applyFont="1" applyBorder="1" applyAlignment="1">
      <alignment horizontal="center" vertical="center" shrinkToFit="1"/>
    </xf>
    <xf numFmtId="0" fontId="6" fillId="0" borderId="31" xfId="0" applyFont="1" applyBorder="1" applyAlignment="1">
      <alignment horizontal="center" vertical="center" shrinkToFit="1"/>
    </xf>
    <xf numFmtId="0" fontId="12" fillId="0" borderId="17" xfId="0" applyFont="1" applyBorder="1" applyAlignment="1">
      <alignment horizontal="center" vertical="center" shrinkToFit="1"/>
    </xf>
    <xf numFmtId="49" fontId="10" fillId="0" borderId="13" xfId="0" applyNumberFormat="1" applyFont="1" applyBorder="1" applyAlignment="1">
      <alignment vertical="center"/>
    </xf>
    <xf numFmtId="49" fontId="10" fillId="2" borderId="9" xfId="0" applyNumberFormat="1" applyFont="1" applyFill="1" applyBorder="1" applyAlignment="1">
      <alignment horizontal="center" vertical="center" shrinkToFit="1"/>
    </xf>
    <xf numFmtId="0" fontId="6" fillId="0" borderId="26" xfId="0" applyFont="1" applyBorder="1" applyAlignment="1">
      <alignment horizontal="center" vertical="center" shrinkToFit="1"/>
    </xf>
    <xf numFmtId="176" fontId="12" fillId="0" borderId="3" xfId="0" applyNumberFormat="1" applyFont="1" applyBorder="1" applyAlignment="1">
      <alignment horizontal="center" vertical="center" shrinkToFit="1"/>
    </xf>
    <xf numFmtId="0" fontId="12" fillId="0" borderId="19" xfId="0" applyFont="1" applyBorder="1" applyAlignment="1">
      <alignment horizontal="center" vertical="center" shrinkToFit="1"/>
    </xf>
    <xf numFmtId="0" fontId="2" fillId="0" borderId="0" xfId="1" applyAlignment="1" applyProtection="1">
      <alignment horizontal="center" vertical="center"/>
    </xf>
    <xf numFmtId="0" fontId="12" fillId="0" borderId="9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 shrinkToFit="1"/>
    </xf>
    <xf numFmtId="176" fontId="12" fillId="0" borderId="30" xfId="0" applyNumberFormat="1" applyFont="1" applyBorder="1" applyAlignment="1">
      <alignment horizontal="center" vertical="center" shrinkToFit="1"/>
    </xf>
    <xf numFmtId="49" fontId="10" fillId="3" borderId="13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49" fontId="3" fillId="2" borderId="102" xfId="0" applyNumberFormat="1" applyFont="1" applyFill="1" applyBorder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1" fillId="19" borderId="0" xfId="0" applyFont="1" applyFill="1" applyAlignment="1">
      <alignment vertical="center"/>
    </xf>
    <xf numFmtId="49" fontId="1" fillId="19" borderId="0" xfId="0" applyNumberFormat="1" applyFont="1" applyFill="1" applyAlignment="1">
      <alignment vertical="center"/>
    </xf>
    <xf numFmtId="49" fontId="3" fillId="2" borderId="120" xfId="0" applyNumberFormat="1" applyFont="1" applyFill="1" applyBorder="1" applyAlignment="1">
      <alignment horizontal="left" vertical="center" shrinkToFit="1"/>
    </xf>
    <xf numFmtId="49" fontId="3" fillId="2" borderId="144" xfId="0" applyNumberFormat="1" applyFont="1" applyFill="1" applyBorder="1" applyAlignment="1">
      <alignment horizontal="left" vertical="center" shrinkToFit="1"/>
    </xf>
    <xf numFmtId="49" fontId="3" fillId="2" borderId="104" xfId="0" applyNumberFormat="1" applyFont="1" applyFill="1" applyBorder="1" applyAlignment="1">
      <alignment horizontal="left" vertical="center" shrinkToFit="1"/>
    </xf>
    <xf numFmtId="0" fontId="7" fillId="2" borderId="173" xfId="0" applyFont="1" applyFill="1" applyBorder="1" applyAlignment="1">
      <alignment horizontal="left" vertical="center" shrinkToFit="1"/>
    </xf>
    <xf numFmtId="0" fontId="7" fillId="2" borderId="12" xfId="0" applyFont="1" applyFill="1" applyBorder="1" applyAlignment="1">
      <alignment horizontal="left" vertical="center" shrinkToFit="1"/>
    </xf>
    <xf numFmtId="0" fontId="7" fillId="2" borderId="32" xfId="0" applyFont="1" applyFill="1" applyBorder="1" applyAlignment="1">
      <alignment horizontal="left" vertical="center" shrinkToFit="1"/>
    </xf>
    <xf numFmtId="0" fontId="3" fillId="0" borderId="174" xfId="0" applyFont="1" applyBorder="1" applyAlignment="1">
      <alignment horizontal="center" vertical="center" shrinkToFit="1"/>
    </xf>
    <xf numFmtId="0" fontId="7" fillId="0" borderId="144" xfId="0" applyFont="1" applyBorder="1" applyAlignment="1">
      <alignment horizontal="center" vertical="center" shrinkToFit="1"/>
    </xf>
    <xf numFmtId="0" fontId="7" fillId="0" borderId="145" xfId="0" applyFont="1" applyBorder="1" applyAlignment="1">
      <alignment horizontal="center" vertical="center" shrinkToFit="1"/>
    </xf>
    <xf numFmtId="0" fontId="7" fillId="0" borderId="30" xfId="0" applyFont="1" applyBorder="1" applyAlignment="1">
      <alignment horizontal="center" vertical="center" shrinkToFit="1"/>
    </xf>
    <xf numFmtId="0" fontId="7" fillId="0" borderId="12" xfId="0" applyFont="1" applyBorder="1" applyAlignment="1">
      <alignment horizontal="center" vertical="center" shrinkToFit="1"/>
    </xf>
    <xf numFmtId="0" fontId="7" fillId="0" borderId="175" xfId="0" applyFont="1" applyBorder="1" applyAlignment="1">
      <alignment horizontal="center" vertical="center" shrinkToFit="1"/>
    </xf>
    <xf numFmtId="0" fontId="12" fillId="0" borderId="12" xfId="0" applyFont="1" applyBorder="1" applyAlignment="1">
      <alignment horizontal="center" vertical="center" shrinkToFit="1"/>
    </xf>
    <xf numFmtId="49" fontId="3" fillId="2" borderId="176" xfId="0" applyNumberFormat="1" applyFont="1" applyFill="1" applyBorder="1" applyAlignment="1">
      <alignment vertical="center" shrinkToFit="1"/>
    </xf>
    <xf numFmtId="0" fontId="7" fillId="2" borderId="3" xfId="0" applyFont="1" applyFill="1" applyBorder="1" applyAlignment="1">
      <alignment vertical="center" shrinkToFit="1"/>
    </xf>
    <xf numFmtId="0" fontId="7" fillId="2" borderId="4" xfId="0" applyFont="1" applyFill="1" applyBorder="1" applyAlignment="1">
      <alignment vertical="center" shrinkToFit="1"/>
    </xf>
    <xf numFmtId="0" fontId="6" fillId="0" borderId="13" xfId="0" applyFont="1" applyBorder="1" applyAlignment="1">
      <alignment horizontal="center" vertical="center" shrinkToFit="1"/>
    </xf>
    <xf numFmtId="0" fontId="9" fillId="0" borderId="26" xfId="0" applyFont="1" applyBorder="1" applyAlignment="1">
      <alignment horizontal="center" vertical="center" shrinkToFit="1"/>
    </xf>
    <xf numFmtId="179" fontId="12" fillId="0" borderId="3" xfId="0" applyNumberFormat="1" applyFont="1" applyBorder="1" applyAlignment="1" applyProtection="1">
      <alignment horizontal="center" vertical="center" shrinkToFit="1"/>
      <protection locked="0"/>
    </xf>
    <xf numFmtId="179" fontId="12" fillId="0" borderId="4" xfId="0" applyNumberFormat="1" applyFont="1" applyBorder="1" applyAlignment="1" applyProtection="1">
      <alignment horizontal="center" vertical="center" shrinkToFit="1"/>
      <protection locked="0"/>
    </xf>
    <xf numFmtId="49" fontId="12" fillId="2" borderId="147" xfId="0" applyNumberFormat="1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49" fontId="3" fillId="2" borderId="16" xfId="0" applyNumberFormat="1" applyFont="1" applyFill="1" applyBorder="1" applyAlignment="1">
      <alignment horizontal="center" vertical="center" shrinkToFit="1"/>
    </xf>
    <xf numFmtId="49" fontId="3" fillId="2" borderId="177" xfId="0" applyNumberFormat="1" applyFont="1" applyFill="1" applyBorder="1" applyAlignment="1">
      <alignment horizontal="center" vertical="center" shrinkToFit="1"/>
    </xf>
    <xf numFmtId="179" fontId="70" fillId="0" borderId="3" xfId="0" applyNumberFormat="1" applyFont="1" applyBorder="1" applyAlignment="1" applyProtection="1">
      <alignment horizontal="center" vertical="center" shrinkToFit="1"/>
      <protection locked="0"/>
    </xf>
    <xf numFmtId="179" fontId="70" fillId="0" borderId="4" xfId="0" applyNumberFormat="1" applyFont="1" applyBorder="1" applyAlignment="1" applyProtection="1">
      <alignment horizontal="center" vertical="center" shrinkToFit="1"/>
      <protection locked="0"/>
    </xf>
    <xf numFmtId="49" fontId="10" fillId="2" borderId="10" xfId="0" applyNumberFormat="1" applyFont="1" applyFill="1" applyBorder="1" applyAlignment="1">
      <alignment horizontal="center" vertical="center" shrinkToFit="1"/>
    </xf>
    <xf numFmtId="49" fontId="10" fillId="2" borderId="142" xfId="0" applyNumberFormat="1" applyFont="1" applyFill="1" applyBorder="1" applyAlignment="1">
      <alignment horizontal="center" vertical="center" shrinkToFit="1"/>
    </xf>
    <xf numFmtId="49" fontId="10" fillId="2" borderId="103" xfId="0" applyNumberFormat="1" applyFont="1" applyFill="1" applyBorder="1" applyAlignment="1">
      <alignment horizontal="center" vertical="center" shrinkToFit="1"/>
    </xf>
    <xf numFmtId="49" fontId="12" fillId="2" borderId="120" xfId="0" applyNumberFormat="1" applyFont="1" applyFill="1" applyBorder="1" applyAlignment="1">
      <alignment horizontal="center" vertical="center" shrinkToFit="1"/>
    </xf>
    <xf numFmtId="0" fontId="7" fillId="2" borderId="144" xfId="0" applyFont="1" applyFill="1" applyBorder="1" applyAlignment="1">
      <alignment horizontal="center" vertical="center"/>
    </xf>
    <xf numFmtId="0" fontId="7" fillId="2" borderId="104" xfId="0" applyFont="1" applyFill="1" applyBorder="1" applyAlignment="1">
      <alignment horizontal="center" vertical="center"/>
    </xf>
    <xf numFmtId="49" fontId="3" fillId="2" borderId="184" xfId="0" applyNumberFormat="1" applyFont="1" applyFill="1" applyBorder="1" applyAlignment="1">
      <alignment horizontal="left" vertical="center" shrinkToFit="1"/>
    </xf>
    <xf numFmtId="0" fontId="7" fillId="2" borderId="142" xfId="0" applyFont="1" applyFill="1" applyBorder="1" applyAlignment="1">
      <alignment vertical="center" shrinkToFit="1"/>
    </xf>
    <xf numFmtId="0" fontId="7" fillId="2" borderId="103" xfId="0" applyFont="1" applyFill="1" applyBorder="1" applyAlignment="1">
      <alignment vertical="center" shrinkToFit="1"/>
    </xf>
    <xf numFmtId="0" fontId="12" fillId="0" borderId="13" xfId="0" applyFont="1" applyBorder="1" applyAlignment="1">
      <alignment horizontal="center" vertical="center" shrinkToFit="1"/>
    </xf>
    <xf numFmtId="49" fontId="3" fillId="0" borderId="13" xfId="0" applyNumberFormat="1" applyFont="1" applyBorder="1" applyAlignment="1">
      <alignment horizontal="center" vertical="center" shrinkToFit="1"/>
    </xf>
    <xf numFmtId="178" fontId="24" fillId="0" borderId="105" xfId="0" applyNumberFormat="1" applyFont="1" applyBorder="1" applyAlignment="1">
      <alignment vertical="center" shrinkToFit="1"/>
    </xf>
    <xf numFmtId="178" fontId="24" fillId="0" borderId="17" xfId="0" applyNumberFormat="1" applyFont="1" applyBorder="1" applyAlignment="1">
      <alignment vertical="center" shrinkToFit="1"/>
    </xf>
    <xf numFmtId="0" fontId="24" fillId="0" borderId="102" xfId="0" applyFont="1" applyBorder="1" applyAlignment="1">
      <alignment vertical="center" shrinkToFit="1"/>
    </xf>
    <xf numFmtId="0" fontId="24" fillId="0" borderId="3" xfId="0" applyFont="1" applyBorder="1" applyAlignment="1">
      <alignment vertical="center" shrinkToFit="1"/>
    </xf>
    <xf numFmtId="0" fontId="24" fillId="0" borderId="178" xfId="0" applyFont="1" applyBorder="1" applyAlignment="1">
      <alignment vertical="center" shrinkToFit="1"/>
    </xf>
    <xf numFmtId="49" fontId="3" fillId="2" borderId="196" xfId="0" applyNumberFormat="1" applyFont="1" applyFill="1" applyBorder="1" applyAlignment="1">
      <alignment vertical="center" shrinkToFit="1"/>
    </xf>
    <xf numFmtId="49" fontId="3" fillId="2" borderId="19" xfId="0" applyNumberFormat="1" applyFont="1" applyFill="1" applyBorder="1" applyAlignment="1">
      <alignment vertical="center" shrinkToFit="1"/>
    </xf>
    <xf numFmtId="49" fontId="3" fillId="2" borderId="122" xfId="0" applyNumberFormat="1" applyFont="1" applyFill="1" applyBorder="1" applyAlignment="1">
      <alignment vertical="center" shrinkToFit="1"/>
    </xf>
    <xf numFmtId="0" fontId="7" fillId="0" borderId="32" xfId="0" applyFont="1" applyBorder="1" applyAlignment="1">
      <alignment horizontal="center" vertical="center" shrinkToFit="1"/>
    </xf>
    <xf numFmtId="0" fontId="24" fillId="18" borderId="10" xfId="0" applyFont="1" applyFill="1" applyBorder="1" applyAlignment="1">
      <alignment vertical="center" shrinkToFit="1"/>
    </xf>
    <xf numFmtId="0" fontId="24" fillId="18" borderId="142" xfId="0" applyFont="1" applyFill="1" applyBorder="1" applyAlignment="1">
      <alignment vertical="center" shrinkToFit="1"/>
    </xf>
    <xf numFmtId="0" fontId="24" fillId="18" borderId="179" xfId="0" applyFont="1" applyFill="1" applyBorder="1" applyAlignment="1">
      <alignment vertical="center" shrinkToFit="1"/>
    </xf>
    <xf numFmtId="49" fontId="5" fillId="0" borderId="0" xfId="0" applyNumberFormat="1" applyFont="1" applyAlignment="1">
      <alignment horizontal="center" vertical="center"/>
    </xf>
    <xf numFmtId="49" fontId="3" fillId="2" borderId="147" xfId="0" applyNumberFormat="1" applyFont="1" applyFill="1" applyBorder="1" applyAlignment="1">
      <alignment horizontal="left" vertical="center"/>
    </xf>
    <xf numFmtId="49" fontId="3" fillId="2" borderId="13" xfId="0" applyNumberFormat="1" applyFont="1" applyFill="1" applyBorder="1" applyAlignment="1">
      <alignment horizontal="left" vertical="center"/>
    </xf>
    <xf numFmtId="49" fontId="12" fillId="0" borderId="174" xfId="0" applyNumberFormat="1" applyFont="1" applyBorder="1" applyAlignment="1">
      <alignment horizontal="center" vertical="center" shrinkToFit="1"/>
    </xf>
    <xf numFmtId="49" fontId="12" fillId="0" borderId="145" xfId="0" applyNumberFormat="1" applyFont="1" applyBorder="1" applyAlignment="1">
      <alignment horizontal="center" vertical="center" shrinkToFit="1"/>
    </xf>
    <xf numFmtId="0" fontId="12" fillId="0" borderId="3" xfId="0" applyFont="1" applyBorder="1" applyAlignment="1">
      <alignment horizontal="center" vertical="center" shrinkToFit="1"/>
    </xf>
    <xf numFmtId="0" fontId="7" fillId="0" borderId="3" xfId="0" applyFont="1" applyBorder="1" applyAlignment="1">
      <alignment horizontal="center" vertical="center" shrinkToFit="1"/>
    </xf>
    <xf numFmtId="49" fontId="14" fillId="2" borderId="10" xfId="0" applyNumberFormat="1" applyFont="1" applyFill="1" applyBorder="1" applyAlignment="1">
      <alignment horizontal="center" vertical="center"/>
    </xf>
    <xf numFmtId="49" fontId="14" fillId="2" borderId="179" xfId="0" applyNumberFormat="1" applyFont="1" applyFill="1" applyBorder="1" applyAlignment="1">
      <alignment horizontal="center" vertical="center"/>
    </xf>
    <xf numFmtId="49" fontId="3" fillId="2" borderId="176" xfId="0" applyNumberFormat="1" applyFont="1" applyFill="1" applyBorder="1" applyAlignment="1">
      <alignment horizontal="left" vertical="center" shrinkToFit="1"/>
    </xf>
    <xf numFmtId="0" fontId="7" fillId="2" borderId="3" xfId="0" applyFont="1" applyFill="1" applyBorder="1" applyAlignment="1">
      <alignment horizontal="left" vertical="center" shrinkToFit="1"/>
    </xf>
    <xf numFmtId="0" fontId="7" fillId="2" borderId="4" xfId="0" applyFont="1" applyFill="1" applyBorder="1" applyAlignment="1">
      <alignment horizontal="left" vertical="center" shrinkToFit="1"/>
    </xf>
    <xf numFmtId="49" fontId="12" fillId="0" borderId="102" xfId="0" applyNumberFormat="1" applyFont="1" applyBorder="1" applyAlignment="1">
      <alignment horizontal="center" vertical="center" shrinkToFit="1"/>
    </xf>
    <xf numFmtId="49" fontId="12" fillId="0" borderId="178" xfId="0" applyNumberFormat="1" applyFont="1" applyBorder="1" applyAlignment="1">
      <alignment horizontal="center" vertical="center" shrinkToFit="1"/>
    </xf>
    <xf numFmtId="49" fontId="3" fillId="2" borderId="120" xfId="0" applyNumberFormat="1" applyFont="1" applyFill="1" applyBorder="1" applyAlignment="1">
      <alignment horizontal="center" vertical="center"/>
    </xf>
    <xf numFmtId="49" fontId="3" fillId="2" borderId="144" xfId="0" applyNumberFormat="1" applyFont="1" applyFill="1" applyBorder="1" applyAlignment="1">
      <alignment horizontal="center" vertical="center"/>
    </xf>
    <xf numFmtId="49" fontId="3" fillId="2" borderId="173" xfId="0" applyNumberFormat="1" applyFont="1" applyFill="1" applyBorder="1" applyAlignment="1">
      <alignment horizontal="center" vertical="center"/>
    </xf>
    <xf numFmtId="49" fontId="3" fillId="2" borderId="12" xfId="0" applyNumberFormat="1" applyFont="1" applyFill="1" applyBorder="1" applyAlignment="1">
      <alignment horizontal="center" vertical="center"/>
    </xf>
    <xf numFmtId="49" fontId="3" fillId="2" borderId="120" xfId="0" applyNumberFormat="1" applyFont="1" applyFill="1" applyBorder="1" applyAlignment="1">
      <alignment horizontal="center" vertical="center" shrinkToFit="1"/>
    </xf>
    <xf numFmtId="49" fontId="3" fillId="2" borderId="144" xfId="0" applyNumberFormat="1" applyFont="1" applyFill="1" applyBorder="1" applyAlignment="1">
      <alignment horizontal="center" vertical="center" shrinkToFit="1"/>
    </xf>
    <xf numFmtId="49" fontId="3" fillId="2" borderId="145" xfId="0" applyNumberFormat="1" applyFont="1" applyFill="1" applyBorder="1" applyAlignment="1">
      <alignment horizontal="center" vertical="center" shrinkToFit="1"/>
    </xf>
    <xf numFmtId="49" fontId="3" fillId="2" borderId="173" xfId="0" applyNumberFormat="1" applyFont="1" applyFill="1" applyBorder="1" applyAlignment="1">
      <alignment horizontal="center" vertical="center" shrinkToFit="1"/>
    </xf>
    <xf numFmtId="49" fontId="3" fillId="2" borderId="12" xfId="0" applyNumberFormat="1" applyFont="1" applyFill="1" applyBorder="1" applyAlignment="1">
      <alignment horizontal="center" vertical="center" shrinkToFit="1"/>
    </xf>
    <xf numFmtId="49" fontId="3" fillId="2" borderId="175" xfId="0" applyNumberFormat="1" applyFont="1" applyFill="1" applyBorder="1" applyAlignment="1">
      <alignment horizontal="center" vertical="center" shrinkToFit="1"/>
    </xf>
    <xf numFmtId="49" fontId="12" fillId="0" borderId="105" xfId="0" applyNumberFormat="1" applyFont="1" applyBorder="1" applyAlignment="1">
      <alignment horizontal="center" vertical="center" shrinkToFit="1"/>
    </xf>
    <xf numFmtId="49" fontId="12" fillId="0" borderId="180" xfId="0" applyNumberFormat="1" applyFont="1" applyBorder="1" applyAlignment="1">
      <alignment horizontal="center" vertical="center" shrinkToFit="1"/>
    </xf>
    <xf numFmtId="49" fontId="3" fillId="2" borderId="183" xfId="0" applyNumberFormat="1" applyFont="1" applyFill="1" applyBorder="1" applyAlignment="1">
      <alignment vertical="center" shrinkToFit="1"/>
    </xf>
    <xf numFmtId="0" fontId="7" fillId="2" borderId="17" xfId="0" applyFont="1" applyFill="1" applyBorder="1" applyAlignment="1">
      <alignment vertical="center" shrinkToFit="1"/>
    </xf>
    <xf numFmtId="0" fontId="24" fillId="18" borderId="102" xfId="0" applyFont="1" applyFill="1" applyBorder="1" applyAlignment="1">
      <alignment vertical="center" shrinkToFit="1"/>
    </xf>
    <xf numFmtId="0" fontId="24" fillId="18" borderId="3" xfId="0" applyFont="1" applyFill="1" applyBorder="1" applyAlignment="1">
      <alignment vertical="center" shrinkToFit="1"/>
    </xf>
    <xf numFmtId="0" fontId="24" fillId="18" borderId="178" xfId="0" applyFont="1" applyFill="1" applyBorder="1" applyAlignment="1">
      <alignment vertical="center" shrinkToFit="1"/>
    </xf>
    <xf numFmtId="49" fontId="3" fillId="0" borderId="12" xfId="0" applyNumberFormat="1" applyFont="1" applyBorder="1" applyAlignment="1">
      <alignment horizontal="center" vertical="center" shrinkToFit="1"/>
    </xf>
    <xf numFmtId="0" fontId="6" fillId="0" borderId="31" xfId="0" applyFont="1" applyBorder="1" applyAlignment="1">
      <alignment horizontal="center" vertical="center" shrinkToFit="1"/>
    </xf>
    <xf numFmtId="0" fontId="6" fillId="0" borderId="148" xfId="0" applyFont="1" applyBorder="1" applyAlignment="1">
      <alignment horizontal="center" vertical="center" shrinkToFit="1"/>
    </xf>
    <xf numFmtId="179" fontId="12" fillId="5" borderId="3" xfId="0" applyNumberFormat="1" applyFont="1" applyFill="1" applyBorder="1" applyAlignment="1" applyProtection="1">
      <alignment horizontal="center" vertical="center" shrinkToFit="1"/>
      <protection locked="0"/>
    </xf>
    <xf numFmtId="179" fontId="12" fillId="5" borderId="4" xfId="0" applyNumberFormat="1" applyFont="1" applyFill="1" applyBorder="1" applyAlignment="1" applyProtection="1">
      <alignment horizontal="center" vertical="center" shrinkToFit="1"/>
      <protection locked="0"/>
    </xf>
    <xf numFmtId="0" fontId="7" fillId="0" borderId="102" xfId="0" applyFont="1" applyBorder="1" applyAlignment="1">
      <alignment horizontal="center" vertical="center" shrinkToFit="1"/>
    </xf>
    <xf numFmtId="0" fontId="7" fillId="0" borderId="15" xfId="0" applyFont="1" applyBorder="1" applyAlignment="1">
      <alignment horizontal="center" vertical="center" shrinkToFit="1"/>
    </xf>
    <xf numFmtId="176" fontId="12" fillId="5" borderId="30" xfId="0" applyNumberFormat="1" applyFont="1" applyFill="1" applyBorder="1" applyAlignment="1">
      <alignment horizontal="center" vertical="center" shrinkToFit="1"/>
    </xf>
    <xf numFmtId="176" fontId="12" fillId="5" borderId="175" xfId="0" applyNumberFormat="1" applyFont="1" applyFill="1" applyBorder="1" applyAlignment="1">
      <alignment horizontal="center" vertical="center" shrinkToFit="1"/>
    </xf>
    <xf numFmtId="49" fontId="10" fillId="2" borderId="193" xfId="0" applyNumberFormat="1" applyFont="1" applyFill="1" applyBorder="1" applyAlignment="1">
      <alignment horizontal="center" vertical="center" shrinkToFit="1"/>
    </xf>
    <xf numFmtId="49" fontId="10" fillId="2" borderId="182" xfId="0" applyNumberFormat="1" applyFont="1" applyFill="1" applyBorder="1" applyAlignment="1">
      <alignment horizontal="center" vertical="center" shrinkToFit="1"/>
    </xf>
    <xf numFmtId="0" fontId="12" fillId="0" borderId="17" xfId="0" applyFont="1" applyBorder="1" applyAlignment="1">
      <alignment horizontal="center" vertical="center" shrinkToFit="1"/>
    </xf>
    <xf numFmtId="0" fontId="7" fillId="0" borderId="172" xfId="0" applyFont="1" applyBorder="1" applyAlignment="1">
      <alignment horizontal="center" vertical="center" shrinkToFit="1"/>
    </xf>
    <xf numFmtId="49" fontId="3" fillId="0" borderId="17" xfId="0" applyNumberFormat="1" applyFont="1" applyBorder="1" applyAlignment="1">
      <alignment horizontal="center" vertical="center" shrinkToFit="1"/>
    </xf>
    <xf numFmtId="176" fontId="12" fillId="5" borderId="181" xfId="0" applyNumberFormat="1" applyFont="1" applyFill="1" applyBorder="1" applyAlignment="1">
      <alignment horizontal="center" vertical="center" shrinkToFit="1"/>
    </xf>
    <xf numFmtId="176" fontId="12" fillId="5" borderId="32" xfId="0" applyNumberFormat="1" applyFont="1" applyFill="1" applyBorder="1" applyAlignment="1">
      <alignment horizontal="center" vertical="center" shrinkToFit="1"/>
    </xf>
    <xf numFmtId="49" fontId="10" fillId="0" borderId="13" xfId="0" applyNumberFormat="1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9" xfId="0" applyFont="1" applyBorder="1" applyAlignment="1">
      <alignment horizontal="center" vertical="center" shrinkToFit="1"/>
    </xf>
    <xf numFmtId="0" fontId="7" fillId="0" borderId="28" xfId="0" applyFont="1" applyBorder="1" applyAlignment="1">
      <alignment horizontal="center" vertical="center" shrinkToFit="1"/>
    </xf>
    <xf numFmtId="0" fontId="12" fillId="0" borderId="144" xfId="0" applyFont="1" applyBorder="1" applyAlignment="1">
      <alignment horizontal="center" vertical="center" shrinkToFit="1"/>
    </xf>
    <xf numFmtId="0" fontId="24" fillId="0" borderId="105" xfId="0" applyFont="1" applyBorder="1" applyAlignment="1">
      <alignment horizontal="left" vertical="center" shrinkToFit="1"/>
    </xf>
    <xf numFmtId="0" fontId="24" fillId="0" borderId="17" xfId="0" applyFont="1" applyBorder="1" applyAlignment="1">
      <alignment horizontal="left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105" xfId="0" applyFont="1" applyBorder="1" applyAlignment="1">
      <alignment horizontal="center" vertical="center" shrinkToFit="1"/>
    </xf>
    <xf numFmtId="0" fontId="7" fillId="0" borderId="29" xfId="0" applyFont="1" applyBorder="1" applyAlignment="1">
      <alignment horizontal="center" vertical="center" shrinkToFit="1"/>
    </xf>
    <xf numFmtId="0" fontId="7" fillId="0" borderId="4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 shrinkToFit="1"/>
    </xf>
    <xf numFmtId="49" fontId="10" fillId="2" borderId="190" xfId="0" applyNumberFormat="1" applyFont="1" applyFill="1" applyBorder="1" applyAlignment="1">
      <alignment horizontal="center" vertical="center" shrinkToFit="1"/>
    </xf>
    <xf numFmtId="49" fontId="10" fillId="2" borderId="191" xfId="0" applyNumberFormat="1" applyFont="1" applyFill="1" applyBorder="1" applyAlignment="1">
      <alignment horizontal="center" vertical="center" shrinkToFit="1"/>
    </xf>
    <xf numFmtId="49" fontId="10" fillId="0" borderId="13" xfId="0" applyNumberFormat="1" applyFont="1" applyBorder="1" applyAlignment="1">
      <alignment horizontal="left" vertical="center"/>
    </xf>
    <xf numFmtId="0" fontId="7" fillId="0" borderId="13" xfId="0" applyFont="1" applyBorder="1" applyAlignment="1">
      <alignment horizontal="left" vertical="center"/>
    </xf>
    <xf numFmtId="0" fontId="24" fillId="0" borderId="102" xfId="0" applyFont="1" applyBorder="1" applyAlignment="1">
      <alignment horizontal="left" vertical="center" shrinkToFit="1"/>
    </xf>
    <xf numFmtId="0" fontId="24" fillId="0" borderId="3" xfId="0" applyFont="1" applyBorder="1" applyAlignment="1">
      <alignment horizontal="left" vertical="center" shrinkToFit="1"/>
    </xf>
    <xf numFmtId="49" fontId="10" fillId="2" borderId="9" xfId="0" applyNumberFormat="1" applyFont="1" applyFill="1" applyBorder="1" applyAlignment="1">
      <alignment horizontal="center" vertical="center" shrinkToFit="1"/>
    </xf>
    <xf numFmtId="176" fontId="12" fillId="5" borderId="194" xfId="0" applyNumberFormat="1" applyFont="1" applyFill="1" applyBorder="1" applyAlignment="1">
      <alignment horizontal="center" vertical="center" shrinkToFit="1"/>
    </xf>
    <xf numFmtId="176" fontId="12" fillId="5" borderId="4" xfId="0" applyNumberFormat="1" applyFont="1" applyFill="1" applyBorder="1" applyAlignment="1">
      <alignment horizontal="center" vertical="center" shrinkToFit="1"/>
    </xf>
    <xf numFmtId="176" fontId="12" fillId="0" borderId="121" xfId="0" applyNumberFormat="1" applyFont="1" applyBorder="1" applyAlignment="1">
      <alignment horizontal="center" vertical="center" shrinkToFit="1"/>
    </xf>
    <xf numFmtId="176" fontId="12" fillId="0" borderId="122" xfId="0" applyNumberFormat="1" applyFont="1" applyBorder="1" applyAlignment="1">
      <alignment horizontal="center" vertical="center" shrinkToFit="1"/>
    </xf>
    <xf numFmtId="176" fontId="12" fillId="0" borderId="185" xfId="0" applyNumberFormat="1" applyFont="1" applyBorder="1" applyAlignment="1">
      <alignment horizontal="center" vertical="center" shrinkToFit="1"/>
    </xf>
    <xf numFmtId="0" fontId="6" fillId="0" borderId="26" xfId="0" applyFont="1" applyBorder="1" applyAlignment="1">
      <alignment horizontal="center" vertical="center" shrinkToFit="1"/>
    </xf>
    <xf numFmtId="176" fontId="12" fillId="0" borderId="195" xfId="0" applyNumberFormat="1" applyFont="1" applyBorder="1" applyAlignment="1">
      <alignment horizontal="center" vertical="center" shrinkToFit="1"/>
    </xf>
    <xf numFmtId="176" fontId="12" fillId="0" borderId="194" xfId="0" applyNumberFormat="1" applyFont="1" applyBorder="1" applyAlignment="1">
      <alignment horizontal="center" vertical="center" shrinkToFit="1"/>
    </xf>
    <xf numFmtId="176" fontId="12" fillId="0" borderId="4" xfId="0" applyNumberFormat="1" applyFont="1" applyBorder="1" applyAlignment="1">
      <alignment horizontal="center" vertical="center" shrinkToFit="1"/>
    </xf>
    <xf numFmtId="176" fontId="12" fillId="0" borderId="102" xfId="0" applyNumberFormat="1" applyFont="1" applyBorder="1" applyAlignment="1">
      <alignment horizontal="center" vertical="center" shrinkToFit="1"/>
    </xf>
    <xf numFmtId="176" fontId="12" fillId="0" borderId="3" xfId="0" applyNumberFormat="1" applyFont="1" applyBorder="1" applyAlignment="1">
      <alignment horizontal="center" vertical="center" shrinkToFit="1"/>
    </xf>
    <xf numFmtId="176" fontId="12" fillId="0" borderId="178" xfId="0" applyNumberFormat="1" applyFont="1" applyBorder="1" applyAlignment="1">
      <alignment horizontal="center" vertical="center" shrinkToFit="1"/>
    </xf>
    <xf numFmtId="176" fontId="12" fillId="5" borderId="102" xfId="0" applyNumberFormat="1" applyFont="1" applyFill="1" applyBorder="1" applyAlignment="1">
      <alignment horizontal="center" vertical="center" shrinkToFit="1"/>
    </xf>
    <xf numFmtId="0" fontId="24" fillId="0" borderId="147" xfId="0" applyFont="1" applyBorder="1" applyAlignment="1">
      <alignment horizontal="left" vertical="center" shrinkToFit="1"/>
    </xf>
    <xf numFmtId="0" fontId="24" fillId="0" borderId="13" xfId="0" applyFont="1" applyBorder="1" applyAlignment="1">
      <alignment horizontal="left" vertical="center" shrinkToFit="1"/>
    </xf>
    <xf numFmtId="0" fontId="24" fillId="0" borderId="148" xfId="0" applyFont="1" applyBorder="1" applyAlignment="1">
      <alignment horizontal="left" vertical="center" shrinkToFit="1"/>
    </xf>
    <xf numFmtId="0" fontId="12" fillId="2" borderId="118" xfId="0" applyFont="1" applyFill="1" applyBorder="1" applyAlignment="1">
      <alignment horizontal="center" vertical="center" shrinkToFit="1"/>
    </xf>
    <xf numFmtId="0" fontId="12" fillId="2" borderId="143" xfId="0" applyFont="1" applyFill="1" applyBorder="1" applyAlignment="1">
      <alignment horizontal="center" vertical="center" shrinkToFit="1"/>
    </xf>
    <xf numFmtId="0" fontId="12" fillId="2" borderId="146" xfId="0" applyFont="1" applyFill="1" applyBorder="1" applyAlignment="1">
      <alignment horizontal="center" vertical="center" shrinkToFit="1"/>
    </xf>
    <xf numFmtId="176" fontId="12" fillId="5" borderId="105" xfId="0" applyNumberFormat="1" applyFont="1" applyFill="1" applyBorder="1" applyAlignment="1">
      <alignment horizontal="center" vertical="center" shrinkToFit="1"/>
    </xf>
    <xf numFmtId="176" fontId="12" fillId="5" borderId="172" xfId="0" applyNumberFormat="1" applyFont="1" applyFill="1" applyBorder="1" applyAlignment="1">
      <alignment horizontal="center" vertical="center" shrinkToFit="1"/>
    </xf>
    <xf numFmtId="176" fontId="12" fillId="5" borderId="178" xfId="0" applyNumberFormat="1" applyFont="1" applyFill="1" applyBorder="1" applyAlignment="1">
      <alignment horizontal="center" vertical="center" shrinkToFit="1"/>
    </xf>
    <xf numFmtId="0" fontId="7" fillId="0" borderId="103" xfId="0" applyFont="1" applyBorder="1" applyAlignment="1">
      <alignment horizontal="center" vertical="center" shrinkToFit="1"/>
    </xf>
    <xf numFmtId="49" fontId="3" fillId="2" borderId="10" xfId="0" applyNumberFormat="1" applyFont="1" applyFill="1" applyBorder="1" applyAlignment="1">
      <alignment horizontal="left" vertical="center" shrinkToFit="1"/>
    </xf>
    <xf numFmtId="0" fontId="7" fillId="2" borderId="142" xfId="0" applyFont="1" applyFill="1" applyBorder="1" applyAlignment="1">
      <alignment horizontal="left" vertical="center" shrinkToFit="1"/>
    </xf>
    <xf numFmtId="49" fontId="12" fillId="18" borderId="1" xfId="0" applyNumberFormat="1" applyFont="1" applyFill="1" applyBorder="1" applyAlignment="1">
      <alignment horizontal="center" vertical="center" shrinkToFit="1"/>
    </xf>
    <xf numFmtId="49" fontId="12" fillId="18" borderId="15" xfId="0" applyNumberFormat="1" applyFont="1" applyFill="1" applyBorder="1" applyAlignment="1">
      <alignment horizontal="center" vertical="center" shrinkToFit="1"/>
    </xf>
    <xf numFmtId="49" fontId="3" fillId="2" borderId="17" xfId="0" applyNumberFormat="1" applyFont="1" applyFill="1" applyBorder="1" applyAlignment="1">
      <alignment vertical="center" shrinkToFit="1"/>
    </xf>
    <xf numFmtId="49" fontId="3" fillId="2" borderId="3" xfId="0" applyNumberFormat="1" applyFont="1" applyFill="1" applyBorder="1" applyAlignment="1">
      <alignment vertical="center" shrinkToFit="1"/>
    </xf>
    <xf numFmtId="0" fontId="7" fillId="0" borderId="17" xfId="0" applyFont="1" applyBorder="1" applyAlignment="1">
      <alignment horizontal="center" vertical="center" shrinkToFit="1"/>
    </xf>
    <xf numFmtId="179" fontId="12" fillId="18" borderId="176" xfId="0" applyNumberFormat="1" applyFont="1" applyFill="1" applyBorder="1" applyAlignment="1" applyProtection="1">
      <alignment horizontal="center" vertical="center" shrinkToFit="1"/>
      <protection locked="0"/>
    </xf>
    <xf numFmtId="179" fontId="12" fillId="18" borderId="3" xfId="0" applyNumberFormat="1" applyFont="1" applyFill="1" applyBorder="1" applyAlignment="1" applyProtection="1">
      <alignment horizontal="center" vertical="center" shrinkToFit="1"/>
      <protection locked="0"/>
    </xf>
    <xf numFmtId="179" fontId="12" fillId="18" borderId="4" xfId="0" applyNumberFormat="1" applyFont="1" applyFill="1" applyBorder="1" applyAlignment="1" applyProtection="1">
      <alignment horizontal="center" vertical="center" shrinkToFit="1"/>
      <protection locked="0"/>
    </xf>
    <xf numFmtId="177" fontId="3" fillId="0" borderId="13" xfId="0" applyNumberFormat="1" applyFont="1" applyBorder="1" applyAlignment="1">
      <alignment vertical="center"/>
    </xf>
    <xf numFmtId="0" fontId="7" fillId="0" borderId="10" xfId="0" applyFont="1" applyBorder="1" applyAlignment="1">
      <alignment horizontal="center" vertical="center" shrinkToFit="1"/>
    </xf>
    <xf numFmtId="179" fontId="12" fillId="18" borderId="184" xfId="0" applyNumberFormat="1" applyFont="1" applyFill="1" applyBorder="1" applyAlignment="1" applyProtection="1">
      <alignment horizontal="center" vertical="center" shrinkToFit="1"/>
      <protection locked="0"/>
    </xf>
    <xf numFmtId="179" fontId="12" fillId="18" borderId="142" xfId="0" applyNumberFormat="1" applyFont="1" applyFill="1" applyBorder="1" applyAlignment="1" applyProtection="1">
      <alignment horizontal="center" vertical="center" shrinkToFit="1"/>
      <protection locked="0"/>
    </xf>
    <xf numFmtId="179" fontId="12" fillId="18" borderId="103" xfId="0" applyNumberFormat="1" applyFont="1" applyFill="1" applyBorder="1" applyAlignment="1" applyProtection="1">
      <alignment horizontal="center" vertical="center" shrinkToFit="1"/>
      <protection locked="0"/>
    </xf>
    <xf numFmtId="49" fontId="69" fillId="18" borderId="121" xfId="0" applyNumberFormat="1" applyFont="1" applyFill="1" applyBorder="1" applyAlignment="1">
      <alignment vertical="center" shrinkToFit="1"/>
    </xf>
    <xf numFmtId="49" fontId="69" fillId="18" borderId="19" xfId="0" applyNumberFormat="1" applyFont="1" applyFill="1" applyBorder="1" applyAlignment="1">
      <alignment vertical="center" shrinkToFit="1"/>
    </xf>
    <xf numFmtId="49" fontId="69" fillId="18" borderId="185" xfId="0" applyNumberFormat="1" applyFont="1" applyFill="1" applyBorder="1" applyAlignment="1">
      <alignment vertical="center" shrinkToFit="1"/>
    </xf>
    <xf numFmtId="49" fontId="69" fillId="18" borderId="122" xfId="0" applyNumberFormat="1" applyFont="1" applyFill="1" applyBorder="1" applyAlignment="1">
      <alignment vertical="center" shrinkToFit="1"/>
    </xf>
    <xf numFmtId="176" fontId="12" fillId="0" borderId="19" xfId="0" applyNumberFormat="1" applyFont="1" applyBorder="1" applyAlignment="1">
      <alignment horizontal="center" vertical="center" shrinkToFit="1"/>
    </xf>
    <xf numFmtId="49" fontId="3" fillId="2" borderId="184" xfId="0" applyNumberFormat="1" applyFont="1" applyFill="1" applyBorder="1" applyAlignment="1">
      <alignment vertical="center" shrinkToFit="1"/>
    </xf>
    <xf numFmtId="49" fontId="3" fillId="2" borderId="142" xfId="0" applyNumberFormat="1" applyFont="1" applyFill="1" applyBorder="1" applyAlignment="1">
      <alignment vertical="center" shrinkToFit="1"/>
    </xf>
    <xf numFmtId="0" fontId="3" fillId="5" borderId="31" xfId="0" applyFont="1" applyFill="1" applyBorder="1" applyAlignment="1">
      <alignment horizontal="left" vertical="center" shrinkToFit="1"/>
    </xf>
    <xf numFmtId="0" fontId="3" fillId="5" borderId="13" xfId="0" applyFont="1" applyFill="1" applyBorder="1" applyAlignment="1">
      <alignment horizontal="left" vertical="center" shrinkToFit="1"/>
    </xf>
    <xf numFmtId="0" fontId="3" fillId="5" borderId="148" xfId="0" applyFont="1" applyFill="1" applyBorder="1" applyAlignment="1">
      <alignment horizontal="left" vertical="center" shrinkToFit="1"/>
    </xf>
    <xf numFmtId="49" fontId="12" fillId="18" borderId="9" xfId="0" applyNumberFormat="1" applyFont="1" applyFill="1" applyBorder="1" applyAlignment="1">
      <alignment horizontal="center" vertical="center" shrinkToFit="1"/>
    </xf>
    <xf numFmtId="49" fontId="12" fillId="18" borderId="28" xfId="0" applyNumberFormat="1" applyFont="1" applyFill="1" applyBorder="1" applyAlignment="1">
      <alignment horizontal="center" vertical="center" shrinkToFit="1"/>
    </xf>
    <xf numFmtId="49" fontId="3" fillId="14" borderId="186" xfId="0" applyNumberFormat="1" applyFont="1" applyFill="1" applyBorder="1" applyAlignment="1">
      <alignment vertical="center" shrinkToFit="1"/>
    </xf>
    <xf numFmtId="49" fontId="3" fillId="14" borderId="187" xfId="0" applyNumberFormat="1" applyFont="1" applyFill="1" applyBorder="1" applyAlignment="1">
      <alignment vertical="center" shrinkToFit="1"/>
    </xf>
    <xf numFmtId="49" fontId="3" fillId="14" borderId="24" xfId="0" applyNumberFormat="1" applyFont="1" applyFill="1" applyBorder="1" applyAlignment="1">
      <alignment vertical="center" shrinkToFit="1"/>
    </xf>
    <xf numFmtId="0" fontId="6" fillId="0" borderId="188" xfId="0" applyFont="1" applyBorder="1" applyAlignment="1">
      <alignment horizontal="center" vertical="center" shrinkToFit="1"/>
    </xf>
    <xf numFmtId="49" fontId="12" fillId="18" borderId="189" xfId="0" applyNumberFormat="1" applyFont="1" applyFill="1" applyBorder="1" applyAlignment="1">
      <alignment horizontal="center" vertical="center" shrinkToFit="1"/>
    </xf>
    <xf numFmtId="49" fontId="12" fillId="18" borderId="177" xfId="0" applyNumberFormat="1" applyFont="1" applyFill="1" applyBorder="1" applyAlignment="1">
      <alignment horizontal="center" vertical="center" shrinkToFit="1"/>
    </xf>
    <xf numFmtId="49" fontId="3" fillId="2" borderId="186" xfId="0" applyNumberFormat="1" applyFont="1" applyFill="1" applyBorder="1" applyAlignment="1">
      <alignment horizontal="center" vertical="center" shrinkToFit="1"/>
    </xf>
    <xf numFmtId="49" fontId="3" fillId="2" borderId="187" xfId="0" applyNumberFormat="1" applyFont="1" applyFill="1" applyBorder="1" applyAlignment="1">
      <alignment horizontal="center" vertical="center" shrinkToFit="1"/>
    </xf>
    <xf numFmtId="49" fontId="3" fillId="2" borderId="24" xfId="0" applyNumberFormat="1" applyFont="1" applyFill="1" applyBorder="1" applyAlignment="1">
      <alignment horizontal="center" vertical="center" shrinkToFit="1"/>
    </xf>
    <xf numFmtId="49" fontId="3" fillId="0" borderId="13" xfId="0" applyNumberFormat="1" applyFont="1" applyBorder="1" applyAlignment="1">
      <alignment vertical="center"/>
    </xf>
    <xf numFmtId="49" fontId="3" fillId="2" borderId="190" xfId="0" applyNumberFormat="1" applyFont="1" applyFill="1" applyBorder="1" applyAlignment="1">
      <alignment horizontal="center" vertical="center" shrinkToFit="1"/>
    </xf>
    <xf numFmtId="49" fontId="3" fillId="2" borderId="191" xfId="0" applyNumberFormat="1" applyFont="1" applyFill="1" applyBorder="1" applyAlignment="1">
      <alignment horizontal="center" vertical="center" shrinkToFit="1"/>
    </xf>
    <xf numFmtId="0" fontId="69" fillId="18" borderId="3" xfId="0" applyFont="1" applyFill="1" applyBorder="1" applyAlignment="1">
      <alignment vertical="center" shrinkToFit="1"/>
    </xf>
    <xf numFmtId="49" fontId="10" fillId="2" borderId="26" xfId="0" applyNumberFormat="1" applyFont="1" applyFill="1" applyBorder="1" applyAlignment="1">
      <alignment horizontal="center" vertical="center" shrinkToFit="1"/>
    </xf>
    <xf numFmtId="49" fontId="10" fillId="2" borderId="31" xfId="0" applyNumberFormat="1" applyFont="1" applyFill="1" applyBorder="1" applyAlignment="1">
      <alignment horizontal="center" vertical="center" shrinkToFit="1"/>
    </xf>
    <xf numFmtId="0" fontId="24" fillId="0" borderId="10" xfId="0" applyFont="1" applyBorder="1" applyAlignment="1">
      <alignment horizontal="left" vertical="center" shrinkToFit="1"/>
    </xf>
    <xf numFmtId="0" fontId="24" fillId="0" borderId="142" xfId="0" applyFont="1" applyBorder="1" applyAlignment="1">
      <alignment horizontal="left" vertical="center" shrinkToFit="1"/>
    </xf>
    <xf numFmtId="0" fontId="7" fillId="0" borderId="142" xfId="0" applyFont="1" applyBorder="1" applyAlignment="1">
      <alignment horizontal="center" vertical="center" shrinkToFit="1"/>
    </xf>
    <xf numFmtId="49" fontId="10" fillId="2" borderId="13" xfId="0" applyNumberFormat="1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26" xfId="0" applyFont="1" applyFill="1" applyBorder="1" applyAlignment="1">
      <alignment horizontal="center" vertical="center" shrinkToFit="1"/>
    </xf>
    <xf numFmtId="49" fontId="3" fillId="2" borderId="7" xfId="0" applyNumberFormat="1" applyFont="1" applyFill="1" applyBorder="1" applyAlignment="1">
      <alignment horizontal="center" vertical="center" shrinkToFit="1"/>
    </xf>
    <xf numFmtId="49" fontId="3" fillId="2" borderId="27" xfId="0" applyNumberFormat="1" applyFont="1" applyFill="1" applyBorder="1" applyAlignment="1">
      <alignment horizontal="center" vertical="center" shrinkToFit="1"/>
    </xf>
    <xf numFmtId="49" fontId="3" fillId="2" borderId="2" xfId="0" applyNumberFormat="1" applyFont="1" applyFill="1" applyBorder="1" applyAlignment="1">
      <alignment horizontal="center" vertical="center" shrinkToFit="1"/>
    </xf>
    <xf numFmtId="49" fontId="3" fillId="2" borderId="15" xfId="0" applyNumberFormat="1" applyFont="1" applyFill="1" applyBorder="1" applyAlignment="1">
      <alignment horizontal="center" vertical="center" shrinkToFit="1"/>
    </xf>
    <xf numFmtId="49" fontId="3" fillId="0" borderId="3" xfId="0" applyNumberFormat="1" applyFont="1" applyBorder="1" applyAlignment="1">
      <alignment horizontal="center" vertical="center" shrinkToFit="1"/>
    </xf>
    <xf numFmtId="0" fontId="7" fillId="0" borderId="122" xfId="0" applyFont="1" applyBorder="1" applyAlignment="1">
      <alignment horizontal="center" vertical="center" shrinkToFit="1"/>
    </xf>
    <xf numFmtId="0" fontId="7" fillId="0" borderId="189" xfId="0" applyFont="1" applyBorder="1" applyAlignment="1">
      <alignment horizontal="center" vertical="center" shrinkToFit="1"/>
    </xf>
    <xf numFmtId="0" fontId="12" fillId="0" borderId="19" xfId="0" applyFont="1" applyBorder="1" applyAlignment="1">
      <alignment horizontal="center" vertical="center" shrinkToFit="1"/>
    </xf>
    <xf numFmtId="0" fontId="7" fillId="0" borderId="19" xfId="0" applyFont="1" applyBorder="1" applyAlignment="1">
      <alignment horizontal="center" vertical="center" shrinkToFit="1"/>
    </xf>
    <xf numFmtId="0" fontId="7" fillId="0" borderId="192" xfId="0" applyFont="1" applyBorder="1" applyAlignment="1">
      <alignment horizontal="center" vertical="center" shrinkToFit="1"/>
    </xf>
    <xf numFmtId="0" fontId="7" fillId="0" borderId="178" xfId="0" applyFont="1" applyBorder="1" applyAlignment="1">
      <alignment horizontal="center" vertical="center" shrinkToFit="1"/>
    </xf>
    <xf numFmtId="0" fontId="7" fillId="0" borderId="121" xfId="0" applyFont="1" applyBorder="1" applyAlignment="1">
      <alignment horizontal="center" vertical="center" shrinkToFit="1"/>
    </xf>
    <xf numFmtId="0" fontId="7" fillId="0" borderId="180" xfId="0" applyFont="1" applyBorder="1" applyAlignment="1">
      <alignment horizontal="center" vertical="center" shrinkToFit="1"/>
    </xf>
    <xf numFmtId="49" fontId="12" fillId="0" borderId="10" xfId="0" applyNumberFormat="1" applyFont="1" applyBorder="1" applyAlignment="1">
      <alignment horizontal="center" vertical="center" shrinkToFit="1"/>
    </xf>
    <xf numFmtId="49" fontId="12" fillId="0" borderId="179" xfId="0" applyNumberFormat="1" applyFont="1" applyBorder="1" applyAlignment="1">
      <alignment horizontal="center" vertical="center" shrinkToFit="1"/>
    </xf>
    <xf numFmtId="179" fontId="12" fillId="5" borderId="102" xfId="0" applyNumberFormat="1" applyFont="1" applyFill="1" applyBorder="1" applyAlignment="1" applyProtection="1">
      <alignment horizontal="center" vertical="center" shrinkToFit="1"/>
      <protection locked="0"/>
    </xf>
    <xf numFmtId="0" fontId="12" fillId="5" borderId="1" xfId="0" applyFont="1" applyFill="1" applyBorder="1" applyAlignment="1">
      <alignment horizontal="left" vertical="center" shrinkToFit="1"/>
    </xf>
    <xf numFmtId="49" fontId="10" fillId="2" borderId="28" xfId="0" applyNumberFormat="1" applyFont="1" applyFill="1" applyBorder="1" applyAlignment="1">
      <alignment horizontal="center" vertical="center" shrinkToFit="1"/>
    </xf>
    <xf numFmtId="179" fontId="12" fillId="5" borderId="178" xfId="0" applyNumberFormat="1" applyFont="1" applyFill="1" applyBorder="1" applyAlignment="1" applyProtection="1">
      <alignment horizontal="center" vertical="center" shrinkToFit="1"/>
      <protection locked="0"/>
    </xf>
    <xf numFmtId="179" fontId="12" fillId="18" borderId="31" xfId="0" applyNumberFormat="1" applyFont="1" applyFill="1" applyBorder="1" applyAlignment="1" applyProtection="1">
      <alignment horizontal="center" vertical="center" shrinkToFit="1"/>
      <protection locked="0"/>
    </xf>
    <xf numFmtId="179" fontId="12" fillId="18" borderId="13" xfId="0" applyNumberFormat="1" applyFont="1" applyFill="1" applyBorder="1" applyAlignment="1" applyProtection="1">
      <alignment horizontal="center" vertical="center" shrinkToFit="1"/>
      <protection locked="0"/>
    </xf>
    <xf numFmtId="179" fontId="12" fillId="18" borderId="148" xfId="0" applyNumberFormat="1" applyFont="1" applyFill="1" applyBorder="1" applyAlignment="1" applyProtection="1">
      <alignment horizontal="center" vertical="center" shrinkToFit="1"/>
      <protection locked="0"/>
    </xf>
    <xf numFmtId="49" fontId="3" fillId="2" borderId="31" xfId="0" applyNumberFormat="1" applyFont="1" applyFill="1" applyBorder="1" applyAlignment="1">
      <alignment horizontal="center" vertical="center" shrinkToFit="1"/>
    </xf>
    <xf numFmtId="49" fontId="3" fillId="2" borderId="13" xfId="0" applyNumberFormat="1" applyFont="1" applyFill="1" applyBorder="1" applyAlignment="1">
      <alignment horizontal="center" vertical="center" shrinkToFit="1"/>
    </xf>
    <xf numFmtId="49" fontId="3" fillId="2" borderId="26" xfId="0" applyNumberFormat="1" applyFont="1" applyFill="1" applyBorder="1" applyAlignment="1">
      <alignment horizontal="center" vertical="center" shrinkToFit="1"/>
    </xf>
    <xf numFmtId="49" fontId="3" fillId="2" borderId="182" xfId="0" applyNumberFormat="1" applyFont="1" applyFill="1" applyBorder="1" applyAlignment="1">
      <alignment horizontal="center" vertical="center" shrinkToFit="1"/>
    </xf>
    <xf numFmtId="49" fontId="25" fillId="14" borderId="31" xfId="0" applyNumberFormat="1" applyFont="1" applyFill="1" applyBorder="1" applyAlignment="1">
      <alignment horizontal="center" vertical="center" shrinkToFit="1"/>
    </xf>
    <xf numFmtId="49" fontId="6" fillId="14" borderId="13" xfId="0" applyNumberFormat="1" applyFont="1" applyFill="1" applyBorder="1" applyAlignment="1">
      <alignment horizontal="center" vertical="center" shrinkToFit="1"/>
    </xf>
    <xf numFmtId="0" fontId="7" fillId="14" borderId="13" xfId="0" applyFont="1" applyFill="1" applyBorder="1" applyAlignment="1">
      <alignment horizontal="center" shrinkToFit="1"/>
    </xf>
    <xf numFmtId="0" fontId="7" fillId="14" borderId="26" xfId="0" applyFont="1" applyFill="1" applyBorder="1" applyAlignment="1">
      <alignment horizontal="center" shrinkToFit="1"/>
    </xf>
    <xf numFmtId="38" fontId="12" fillId="0" borderId="31" xfId="2" applyFont="1" applyBorder="1" applyAlignment="1">
      <alignment horizontal="center" vertical="center" shrinkToFit="1"/>
    </xf>
    <xf numFmtId="0" fontId="12" fillId="0" borderId="26" xfId="0" applyFont="1" applyBorder="1" applyAlignment="1">
      <alignment horizontal="center" vertical="center" shrinkToFit="1"/>
    </xf>
    <xf numFmtId="0" fontId="5" fillId="18" borderId="174" xfId="0" applyFont="1" applyFill="1" applyBorder="1" applyAlignment="1">
      <alignment horizontal="center" vertical="center" shrinkToFit="1"/>
    </xf>
    <xf numFmtId="0" fontId="7" fillId="18" borderId="144" xfId="0" applyFont="1" applyFill="1" applyBorder="1" applyAlignment="1">
      <alignment horizontal="center" vertical="center" shrinkToFit="1"/>
    </xf>
    <xf numFmtId="0" fontId="7" fillId="18" borderId="145" xfId="0" applyFont="1" applyFill="1" applyBorder="1" applyAlignment="1">
      <alignment horizontal="center" vertical="center" shrinkToFit="1"/>
    </xf>
    <xf numFmtId="0" fontId="7" fillId="18" borderId="30" xfId="0" applyFont="1" applyFill="1" applyBorder="1" applyAlignment="1">
      <alignment horizontal="center" vertical="center" shrinkToFit="1"/>
    </xf>
    <xf numFmtId="0" fontId="7" fillId="18" borderId="12" xfId="0" applyFont="1" applyFill="1" applyBorder="1" applyAlignment="1">
      <alignment horizontal="center" vertical="center" shrinkToFit="1"/>
    </xf>
    <xf numFmtId="0" fontId="7" fillId="18" borderId="175" xfId="0" applyFont="1" applyFill="1" applyBorder="1" applyAlignment="1">
      <alignment horizontal="center" vertical="center" shrinkToFit="1"/>
    </xf>
    <xf numFmtId="49" fontId="21" fillId="14" borderId="31" xfId="0" applyNumberFormat="1" applyFont="1" applyFill="1" applyBorder="1" applyAlignment="1">
      <alignment horizontal="center" vertical="center" shrinkToFit="1"/>
    </xf>
    <xf numFmtId="0" fontId="7" fillId="14" borderId="13" xfId="0" applyFont="1" applyFill="1" applyBorder="1" applyAlignment="1">
      <alignment horizontal="center" vertical="center"/>
    </xf>
    <xf numFmtId="0" fontId="7" fillId="14" borderId="26" xfId="0" applyFont="1" applyFill="1" applyBorder="1" applyAlignment="1">
      <alignment horizontal="center" vertical="center"/>
    </xf>
    <xf numFmtId="14" fontId="12" fillId="18" borderId="31" xfId="0" applyNumberFormat="1" applyFont="1" applyFill="1" applyBorder="1" applyAlignment="1">
      <alignment horizontal="center" vertical="center" shrinkToFit="1"/>
    </xf>
    <xf numFmtId="0" fontId="12" fillId="18" borderId="13" xfId="0" applyFont="1" applyFill="1" applyBorder="1" applyAlignment="1">
      <alignment horizontal="center" vertical="center" shrinkToFit="1"/>
    </xf>
    <xf numFmtId="0" fontId="12" fillId="18" borderId="26" xfId="0" applyFont="1" applyFill="1" applyBorder="1" applyAlignment="1">
      <alignment horizontal="center" vertical="center" shrinkToFit="1"/>
    </xf>
    <xf numFmtId="0" fontId="12" fillId="5" borderId="6" xfId="0" applyFont="1" applyFill="1" applyBorder="1" applyAlignment="1">
      <alignment horizontal="left" vertical="center" shrinkToFit="1"/>
    </xf>
    <xf numFmtId="0" fontId="7" fillId="2" borderId="28" xfId="0" applyFont="1" applyFill="1" applyBorder="1" applyAlignment="1">
      <alignment horizontal="center" vertical="center" shrinkToFit="1"/>
    </xf>
    <xf numFmtId="49" fontId="3" fillId="0" borderId="120" xfId="0" applyNumberFormat="1" applyFont="1" applyBorder="1" applyAlignment="1">
      <alignment horizontal="center" vertical="center"/>
    </xf>
    <xf numFmtId="49" fontId="3" fillId="0" borderId="144" xfId="0" applyNumberFormat="1" applyFont="1" applyBorder="1" applyAlignment="1">
      <alignment horizontal="center" vertical="center"/>
    </xf>
    <xf numFmtId="49" fontId="3" fillId="0" borderId="145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" fillId="0" borderId="158" xfId="0" applyNumberFormat="1" applyFont="1" applyBorder="1" applyAlignment="1">
      <alignment horizontal="center" vertical="center"/>
    </xf>
    <xf numFmtId="179" fontId="12" fillId="5" borderId="10" xfId="0" applyNumberFormat="1" applyFont="1" applyFill="1" applyBorder="1" applyAlignment="1" applyProtection="1">
      <alignment horizontal="center" vertical="center" shrinkToFit="1"/>
      <protection locked="0"/>
    </xf>
    <xf numFmtId="179" fontId="12" fillId="5" borderId="179" xfId="0" applyNumberFormat="1" applyFont="1" applyFill="1" applyBorder="1" applyAlignment="1" applyProtection="1">
      <alignment horizontal="center" vertical="center" shrinkToFit="1"/>
      <protection locked="0"/>
    </xf>
    <xf numFmtId="0" fontId="7" fillId="2" borderId="0" xfId="0" applyFont="1" applyFill="1" applyAlignment="1">
      <alignment horizontal="center" vertical="center" shrinkToFit="1"/>
    </xf>
    <xf numFmtId="0" fontId="7" fillId="2" borderId="158" xfId="0" applyFont="1" applyFill="1" applyBorder="1" applyAlignment="1">
      <alignment horizontal="center" vertical="center" shrinkToFit="1"/>
    </xf>
    <xf numFmtId="49" fontId="10" fillId="2" borderId="147" xfId="0" applyNumberFormat="1" applyFont="1" applyFill="1" applyBorder="1" applyAlignment="1">
      <alignment horizontal="center" vertical="center" shrinkToFit="1"/>
    </xf>
    <xf numFmtId="49" fontId="12" fillId="5" borderId="1" xfId="0" applyNumberFormat="1" applyFont="1" applyFill="1" applyBorder="1" applyAlignment="1">
      <alignment horizontal="center" vertical="center" shrinkToFit="1"/>
    </xf>
    <xf numFmtId="49" fontId="12" fillId="5" borderId="15" xfId="0" applyNumberFormat="1" applyFont="1" applyFill="1" applyBorder="1" applyAlignment="1">
      <alignment horizontal="center" vertical="center" shrinkToFit="1"/>
    </xf>
    <xf numFmtId="179" fontId="12" fillId="0" borderId="102" xfId="0" applyNumberFormat="1" applyFont="1" applyBorder="1" applyAlignment="1" applyProtection="1">
      <alignment horizontal="center" vertical="center" shrinkToFit="1"/>
      <protection locked="0"/>
    </xf>
    <xf numFmtId="179" fontId="12" fillId="5" borderId="176" xfId="0" applyNumberFormat="1" applyFont="1" applyFill="1" applyBorder="1" applyAlignment="1" applyProtection="1">
      <alignment horizontal="center" vertical="center" shrinkToFit="1"/>
      <protection locked="0"/>
    </xf>
    <xf numFmtId="0" fontId="12" fillId="0" borderId="105" xfId="0" applyFont="1" applyBorder="1" applyAlignment="1">
      <alignment horizontal="center" vertical="center" shrinkToFit="1"/>
    </xf>
    <xf numFmtId="49" fontId="12" fillId="5" borderId="6" xfId="0" applyNumberFormat="1" applyFont="1" applyFill="1" applyBorder="1" applyAlignment="1">
      <alignment horizontal="center" vertical="center" shrinkToFit="1"/>
    </xf>
    <xf numFmtId="49" fontId="12" fillId="5" borderId="27" xfId="0" applyNumberFormat="1" applyFont="1" applyFill="1" applyBorder="1" applyAlignment="1">
      <alignment horizontal="center" vertical="center" shrinkToFit="1"/>
    </xf>
    <xf numFmtId="179" fontId="12" fillId="0" borderId="183" xfId="0" applyNumberFormat="1" applyFont="1" applyBorder="1" applyAlignment="1" applyProtection="1">
      <alignment horizontal="center" vertical="center" shrinkToFit="1"/>
      <protection locked="0"/>
    </xf>
    <xf numFmtId="179" fontId="12" fillId="0" borderId="17" xfId="0" applyNumberFormat="1" applyFont="1" applyBorder="1" applyAlignment="1" applyProtection="1">
      <alignment horizontal="center" vertical="center" shrinkToFit="1"/>
      <protection locked="0"/>
    </xf>
    <xf numFmtId="179" fontId="12" fillId="0" borderId="172" xfId="0" applyNumberFormat="1" applyFont="1" applyBorder="1" applyAlignment="1" applyProtection="1">
      <alignment horizontal="center" vertical="center" shrinkToFit="1"/>
      <protection locked="0"/>
    </xf>
    <xf numFmtId="0" fontId="12" fillId="0" borderId="184" xfId="0" applyFont="1" applyBorder="1" applyAlignment="1">
      <alignment horizontal="center" vertical="center" shrinkToFit="1"/>
    </xf>
    <xf numFmtId="0" fontId="12" fillId="0" borderId="183" xfId="0" applyFont="1" applyBorder="1" applyAlignment="1">
      <alignment horizontal="center" vertical="center" shrinkToFit="1"/>
    </xf>
    <xf numFmtId="49" fontId="10" fillId="2" borderId="190" xfId="0" applyNumberFormat="1" applyFont="1" applyFill="1" applyBorder="1" applyAlignment="1">
      <alignment horizontal="center" vertical="center"/>
    </xf>
    <xf numFmtId="49" fontId="10" fillId="2" borderId="182" xfId="0" applyNumberFormat="1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left" vertical="center" shrinkToFit="1"/>
    </xf>
    <xf numFmtId="49" fontId="15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 vertical="center" shrinkToFit="1"/>
    </xf>
    <xf numFmtId="0" fontId="7" fillId="2" borderId="13" xfId="0" applyFont="1" applyFill="1" applyBorder="1" applyAlignment="1">
      <alignment shrinkToFit="1"/>
    </xf>
    <xf numFmtId="0" fontId="7" fillId="2" borderId="26" xfId="0" applyFont="1" applyFill="1" applyBorder="1" applyAlignment="1">
      <alignment shrinkToFit="1"/>
    </xf>
    <xf numFmtId="49" fontId="3" fillId="2" borderId="145" xfId="0" applyNumberFormat="1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75" xfId="0" applyFont="1" applyFill="1" applyBorder="1" applyAlignment="1">
      <alignment horizontal="center" vertical="center"/>
    </xf>
    <xf numFmtId="49" fontId="8" fillId="18" borderId="31" xfId="0" applyNumberFormat="1" applyFont="1" applyFill="1" applyBorder="1" applyAlignment="1">
      <alignment horizontal="center" vertical="center" shrinkToFit="1"/>
    </xf>
    <xf numFmtId="0" fontId="8" fillId="18" borderId="148" xfId="0" applyFont="1" applyFill="1" applyBorder="1" applyAlignment="1">
      <alignment horizontal="center" vertical="center" shrinkToFit="1"/>
    </xf>
    <xf numFmtId="179" fontId="12" fillId="5" borderId="184" xfId="0" applyNumberFormat="1" applyFont="1" applyFill="1" applyBorder="1" applyAlignment="1" applyProtection="1">
      <alignment horizontal="center" vertical="center" shrinkToFit="1"/>
      <protection locked="0"/>
    </xf>
    <xf numFmtId="179" fontId="12" fillId="5" borderId="142" xfId="0" applyNumberFormat="1" applyFont="1" applyFill="1" applyBorder="1" applyAlignment="1" applyProtection="1">
      <alignment horizontal="center" vertical="center" shrinkToFit="1"/>
      <protection locked="0"/>
    </xf>
    <xf numFmtId="179" fontId="12" fillId="5" borderId="103" xfId="0" applyNumberFormat="1" applyFont="1" applyFill="1" applyBorder="1" applyAlignment="1" applyProtection="1">
      <alignment horizontal="center" vertical="center" shrinkToFit="1"/>
      <protection locked="0"/>
    </xf>
    <xf numFmtId="0" fontId="24" fillId="5" borderId="31" xfId="0" applyFont="1" applyFill="1" applyBorder="1" applyAlignment="1">
      <alignment horizontal="center" vertical="center"/>
    </xf>
    <xf numFmtId="0" fontId="24" fillId="5" borderId="13" xfId="0" applyFont="1" applyFill="1" applyBorder="1" applyAlignment="1">
      <alignment horizontal="center" vertical="center"/>
    </xf>
    <xf numFmtId="0" fontId="24" fillId="5" borderId="148" xfId="0" applyFont="1" applyFill="1" applyBorder="1" applyAlignment="1">
      <alignment horizontal="center" vertical="center"/>
    </xf>
    <xf numFmtId="0" fontId="7" fillId="0" borderId="179" xfId="0" applyFont="1" applyBorder="1" applyAlignment="1">
      <alignment horizontal="center" vertical="center" shrinkToFit="1"/>
    </xf>
    <xf numFmtId="0" fontId="12" fillId="0" borderId="10" xfId="0" applyFont="1" applyBorder="1" applyAlignment="1">
      <alignment horizontal="center" vertical="center" shrinkToFit="1"/>
    </xf>
    <xf numFmtId="49" fontId="12" fillId="2" borderId="174" xfId="0" applyNumberFormat="1" applyFont="1" applyFill="1" applyBorder="1" applyAlignment="1">
      <alignment horizontal="center" vertical="center" shrinkToFit="1"/>
    </xf>
    <xf numFmtId="0" fontId="7" fillId="2" borderId="144" xfId="0" applyFont="1" applyFill="1" applyBorder="1" applyAlignment="1">
      <alignment horizontal="center" vertical="center" shrinkToFit="1"/>
    </xf>
    <xf numFmtId="0" fontId="7" fillId="2" borderId="104" xfId="0" applyFont="1" applyFill="1" applyBorder="1" applyAlignment="1">
      <alignment horizontal="center" vertical="center" shrinkToFit="1"/>
    </xf>
    <xf numFmtId="49" fontId="69" fillId="18" borderId="105" xfId="0" applyNumberFormat="1" applyFont="1" applyFill="1" applyBorder="1" applyAlignment="1">
      <alignment vertical="center" shrinkToFit="1"/>
    </xf>
    <xf numFmtId="49" fontId="69" fillId="18" borderId="17" xfId="0" applyNumberFormat="1" applyFont="1" applyFill="1" applyBorder="1" applyAlignment="1">
      <alignment vertical="center" shrinkToFit="1"/>
    </xf>
    <xf numFmtId="49" fontId="69" fillId="18" borderId="172" xfId="0" applyNumberFormat="1" applyFont="1" applyFill="1" applyBorder="1" applyAlignment="1">
      <alignment vertical="center" shrinkToFit="1"/>
    </xf>
    <xf numFmtId="49" fontId="69" fillId="18" borderId="180" xfId="0" applyNumberFormat="1" applyFont="1" applyFill="1" applyBorder="1" applyAlignment="1">
      <alignment vertical="center" shrinkToFit="1"/>
    </xf>
    <xf numFmtId="49" fontId="3" fillId="2" borderId="183" xfId="0" applyNumberFormat="1" applyFont="1" applyFill="1" applyBorder="1" applyAlignment="1">
      <alignment horizontal="center" vertical="center" shrinkToFit="1"/>
    </xf>
    <xf numFmtId="49" fontId="3" fillId="2" borderId="17" xfId="0" applyNumberFormat="1" applyFont="1" applyFill="1" applyBorder="1" applyAlignment="1">
      <alignment horizontal="center" vertical="center" shrinkToFit="1"/>
    </xf>
    <xf numFmtId="49" fontId="3" fillId="2" borderId="172" xfId="0" applyNumberFormat="1" applyFont="1" applyFill="1" applyBorder="1" applyAlignment="1">
      <alignment horizontal="center" vertical="center" shrinkToFit="1"/>
    </xf>
    <xf numFmtId="181" fontId="12" fillId="5" borderId="31" xfId="0" applyNumberFormat="1" applyFont="1" applyFill="1" applyBorder="1" applyAlignment="1" applyProtection="1">
      <alignment horizontal="center" vertical="center" shrinkToFit="1"/>
      <protection locked="0"/>
    </xf>
    <xf numFmtId="181" fontId="12" fillId="5" borderId="13" xfId="0" applyNumberFormat="1" applyFont="1" applyFill="1" applyBorder="1" applyAlignment="1" applyProtection="1">
      <alignment horizontal="center" vertical="center" shrinkToFit="1"/>
      <protection locked="0"/>
    </xf>
    <xf numFmtId="181" fontId="12" fillId="5" borderId="148" xfId="0" applyNumberFormat="1" applyFont="1" applyFill="1" applyBorder="1" applyAlignment="1" applyProtection="1">
      <alignment horizontal="center" vertical="center" shrinkToFit="1"/>
      <protection locked="0"/>
    </xf>
    <xf numFmtId="49" fontId="24" fillId="5" borderId="31" xfId="0" applyNumberFormat="1" applyFont="1" applyFill="1" applyBorder="1" applyAlignment="1">
      <alignment horizontal="left" vertical="center" shrinkToFit="1"/>
    </xf>
    <xf numFmtId="0" fontId="7" fillId="5" borderId="13" xfId="0" applyFont="1" applyFill="1" applyBorder="1" applyAlignment="1">
      <alignment horizontal="left" vertical="center"/>
    </xf>
    <xf numFmtId="0" fontId="7" fillId="5" borderId="148" xfId="0" applyFont="1" applyFill="1" applyBorder="1" applyAlignment="1">
      <alignment horizontal="left" vertical="center"/>
    </xf>
    <xf numFmtId="49" fontId="10" fillId="2" borderId="191" xfId="0" applyNumberFormat="1" applyFont="1" applyFill="1" applyBorder="1" applyAlignment="1">
      <alignment horizontal="center" vertical="center"/>
    </xf>
    <xf numFmtId="0" fontId="69" fillId="18" borderId="144" xfId="0" applyFont="1" applyFill="1" applyBorder="1" applyAlignment="1">
      <alignment vertical="center" shrinkToFit="1"/>
    </xf>
    <xf numFmtId="176" fontId="12" fillId="5" borderId="12" xfId="0" applyNumberFormat="1" applyFont="1" applyFill="1" applyBorder="1" applyAlignment="1">
      <alignment horizontal="center" vertical="center" shrinkToFit="1"/>
    </xf>
    <xf numFmtId="176" fontId="12" fillId="5" borderId="3" xfId="0" applyNumberFormat="1" applyFont="1" applyFill="1" applyBorder="1" applyAlignment="1">
      <alignment horizontal="center" vertical="center" shrinkToFit="1"/>
    </xf>
    <xf numFmtId="49" fontId="5" fillId="0" borderId="11" xfId="0" applyNumberFormat="1" applyFont="1" applyBorder="1" applyAlignment="1">
      <alignment horizontal="center" vertical="center"/>
    </xf>
    <xf numFmtId="49" fontId="68" fillId="9" borderId="0" xfId="0" applyNumberFormat="1" applyFont="1" applyFill="1" applyAlignment="1">
      <alignment horizontal="left" vertical="center"/>
    </xf>
    <xf numFmtId="0" fontId="7" fillId="2" borderId="148" xfId="0" applyFont="1" applyFill="1" applyBorder="1" applyAlignment="1">
      <alignment horizontal="center" vertical="center" shrinkToFit="1"/>
    </xf>
    <xf numFmtId="49" fontId="12" fillId="2" borderId="31" xfId="0" applyNumberFormat="1" applyFont="1" applyFill="1" applyBorder="1" applyAlignment="1">
      <alignment horizontal="center" vertical="center" shrinkToFit="1"/>
    </xf>
    <xf numFmtId="49" fontId="12" fillId="0" borderId="1" xfId="0" applyNumberFormat="1" applyFont="1" applyBorder="1" applyAlignment="1">
      <alignment horizontal="center" vertical="center" shrinkToFit="1"/>
    </xf>
    <xf numFmtId="0" fontId="5" fillId="5" borderId="174" xfId="0" applyFont="1" applyFill="1" applyBorder="1" applyAlignment="1">
      <alignment horizontal="center" vertical="center" shrinkToFit="1"/>
    </xf>
    <xf numFmtId="0" fontId="7" fillId="5" borderId="144" xfId="0" applyFont="1" applyFill="1" applyBorder="1" applyAlignment="1">
      <alignment horizontal="center" vertical="center" shrinkToFit="1"/>
    </xf>
    <xf numFmtId="0" fontId="7" fillId="5" borderId="0" xfId="0" applyFont="1" applyFill="1" applyAlignment="1">
      <alignment horizontal="center" vertical="center" shrinkToFit="1"/>
    </xf>
    <xf numFmtId="0" fontId="7" fillId="5" borderId="145" xfId="0" applyFont="1" applyFill="1" applyBorder="1" applyAlignment="1">
      <alignment horizontal="center" vertical="center" shrinkToFit="1"/>
    </xf>
    <xf numFmtId="0" fontId="7" fillId="5" borderId="30" xfId="0" applyFont="1" applyFill="1" applyBorder="1" applyAlignment="1">
      <alignment horizontal="center" vertical="center" shrinkToFit="1"/>
    </xf>
    <xf numFmtId="0" fontId="7" fillId="5" borderId="12" xfId="0" applyFont="1" applyFill="1" applyBorder="1" applyAlignment="1">
      <alignment horizontal="center" vertical="center" shrinkToFit="1"/>
    </xf>
    <xf numFmtId="0" fontId="7" fillId="5" borderId="175" xfId="0" applyFont="1" applyFill="1" applyBorder="1" applyAlignment="1">
      <alignment horizontal="center" vertical="center" shrinkToFit="1"/>
    </xf>
    <xf numFmtId="49" fontId="12" fillId="0" borderId="6" xfId="0" applyNumberFormat="1" applyFont="1" applyBorder="1" applyAlignment="1">
      <alignment horizontal="center" vertical="center" shrinkToFit="1"/>
    </xf>
    <xf numFmtId="49" fontId="12" fillId="0" borderId="27" xfId="0" applyNumberFormat="1" applyFont="1" applyBorder="1" applyAlignment="1">
      <alignment horizontal="center" vertical="center" shrinkToFit="1"/>
    </xf>
    <xf numFmtId="49" fontId="12" fillId="0" borderId="15" xfId="0" applyNumberFormat="1" applyFont="1" applyBorder="1" applyAlignment="1">
      <alignment horizontal="center" vertical="center" shrinkToFit="1"/>
    </xf>
    <xf numFmtId="179" fontId="12" fillId="0" borderId="176" xfId="0" applyNumberFormat="1" applyFont="1" applyBorder="1" applyAlignment="1" applyProtection="1">
      <alignment horizontal="center" vertical="center" shrinkToFit="1"/>
      <protection locked="0"/>
    </xf>
    <xf numFmtId="49" fontId="3" fillId="2" borderId="104" xfId="0" applyNumberFormat="1" applyFont="1" applyFill="1" applyBorder="1" applyAlignment="1">
      <alignment horizontal="center" vertical="center"/>
    </xf>
    <xf numFmtId="0" fontId="7" fillId="2" borderId="173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49" fontId="3" fillId="2" borderId="104" xfId="0" applyNumberFormat="1" applyFont="1" applyFill="1" applyBorder="1" applyAlignment="1">
      <alignment horizontal="center" vertical="center" shrinkToFit="1"/>
    </xf>
    <xf numFmtId="0" fontId="7" fillId="2" borderId="173" xfId="0" applyFont="1" applyFill="1" applyBorder="1" applyAlignment="1">
      <alignment horizontal="center" vertical="center" shrinkToFit="1"/>
    </xf>
    <xf numFmtId="0" fontId="7" fillId="2" borderId="12" xfId="0" applyFont="1" applyFill="1" applyBorder="1" applyAlignment="1">
      <alignment horizontal="center" vertical="center" shrinkToFit="1"/>
    </xf>
    <xf numFmtId="0" fontId="7" fillId="2" borderId="32" xfId="0" applyFont="1" applyFill="1" applyBorder="1" applyAlignment="1">
      <alignment horizontal="center" vertical="center" shrinkToFit="1"/>
    </xf>
    <xf numFmtId="49" fontId="68" fillId="9" borderId="0" xfId="0" applyNumberFormat="1" applyFont="1" applyFill="1" applyAlignment="1">
      <alignment vertical="center"/>
    </xf>
    <xf numFmtId="49" fontId="68" fillId="9" borderId="197" xfId="0" applyNumberFormat="1" applyFont="1" applyFill="1" applyBorder="1" applyAlignment="1">
      <alignment vertical="center"/>
    </xf>
    <xf numFmtId="0" fontId="2" fillId="0" borderId="0" xfId="1" applyAlignment="1" applyProtection="1">
      <alignment horizontal="center" vertical="center"/>
    </xf>
    <xf numFmtId="49" fontId="71" fillId="0" borderId="198" xfId="0" applyNumberFormat="1" applyFont="1" applyBorder="1" applyAlignment="1">
      <alignment horizontal="center" vertical="center"/>
    </xf>
    <xf numFmtId="49" fontId="71" fillId="0" borderId="199" xfId="0" applyNumberFormat="1" applyFont="1" applyBorder="1" applyAlignment="1">
      <alignment horizontal="center" vertical="center"/>
    </xf>
    <xf numFmtId="49" fontId="71" fillId="0" borderId="200" xfId="0" applyNumberFormat="1" applyFont="1" applyBorder="1" applyAlignment="1">
      <alignment horizontal="center" vertical="center"/>
    </xf>
    <xf numFmtId="49" fontId="71" fillId="0" borderId="201" xfId="0" applyNumberFormat="1" applyFont="1" applyBorder="1" applyAlignment="1">
      <alignment horizontal="center" vertical="center"/>
    </xf>
    <xf numFmtId="49" fontId="71" fillId="0" borderId="202" xfId="0" applyNumberFormat="1" applyFont="1" applyBorder="1" applyAlignment="1">
      <alignment horizontal="center" vertical="center"/>
    </xf>
    <xf numFmtId="49" fontId="71" fillId="0" borderId="203" xfId="0" applyNumberFormat="1" applyFont="1" applyBorder="1" applyAlignment="1">
      <alignment horizontal="center" vertical="center"/>
    </xf>
    <xf numFmtId="0" fontId="69" fillId="18" borderId="142" xfId="0" applyFont="1" applyFill="1" applyBorder="1" applyAlignment="1">
      <alignment vertical="center" shrinkToFit="1"/>
    </xf>
    <xf numFmtId="49" fontId="12" fillId="0" borderId="189" xfId="0" applyNumberFormat="1" applyFont="1" applyBorder="1" applyAlignment="1">
      <alignment horizontal="center" vertical="center" shrinkToFit="1"/>
    </xf>
    <xf numFmtId="49" fontId="12" fillId="0" borderId="177" xfId="0" applyNumberFormat="1" applyFont="1" applyBorder="1" applyAlignment="1">
      <alignment horizontal="center" vertical="center" shrinkToFit="1"/>
    </xf>
    <xf numFmtId="179" fontId="12" fillId="0" borderId="184" xfId="0" applyNumberFormat="1" applyFont="1" applyBorder="1" applyAlignment="1" applyProtection="1">
      <alignment horizontal="center" vertical="center" shrinkToFit="1"/>
      <protection locked="0"/>
    </xf>
    <xf numFmtId="179" fontId="12" fillId="0" borderId="142" xfId="0" applyNumberFormat="1" applyFont="1" applyBorder="1" applyAlignment="1" applyProtection="1">
      <alignment horizontal="center" vertical="center" shrinkToFit="1"/>
      <protection locked="0"/>
    </xf>
    <xf numFmtId="179" fontId="12" fillId="0" borderId="103" xfId="0" applyNumberFormat="1" applyFont="1" applyBorder="1" applyAlignment="1" applyProtection="1">
      <alignment horizontal="center" vertical="center" shrinkToFit="1"/>
      <protection locked="0"/>
    </xf>
    <xf numFmtId="49" fontId="12" fillId="5" borderId="189" xfId="0" applyNumberFormat="1" applyFont="1" applyFill="1" applyBorder="1" applyAlignment="1">
      <alignment horizontal="center" vertical="center" shrinkToFit="1"/>
    </xf>
    <xf numFmtId="49" fontId="12" fillId="5" borderId="177" xfId="0" applyNumberFormat="1" applyFont="1" applyFill="1" applyBorder="1" applyAlignment="1">
      <alignment horizontal="center" vertical="center" shrinkToFit="1"/>
    </xf>
    <xf numFmtId="49" fontId="12" fillId="5" borderId="9" xfId="0" applyNumberFormat="1" applyFont="1" applyFill="1" applyBorder="1" applyAlignment="1">
      <alignment horizontal="center" vertical="center" shrinkToFit="1"/>
    </xf>
    <xf numFmtId="49" fontId="12" fillId="5" borderId="28" xfId="0" applyNumberFormat="1" applyFont="1" applyFill="1" applyBorder="1" applyAlignment="1">
      <alignment horizontal="center" vertical="center" shrinkToFit="1"/>
    </xf>
    <xf numFmtId="49" fontId="12" fillId="0" borderId="9" xfId="0" applyNumberFormat="1" applyFont="1" applyBorder="1" applyAlignment="1">
      <alignment horizontal="center" vertical="center" shrinkToFit="1"/>
    </xf>
    <xf numFmtId="49" fontId="12" fillId="0" borderId="28" xfId="0" applyNumberFormat="1" applyFont="1" applyBorder="1" applyAlignment="1">
      <alignment horizontal="center" vertical="center" shrinkToFit="1"/>
    </xf>
    <xf numFmtId="179" fontId="23" fillId="0" borderId="107" xfId="0" applyNumberFormat="1" applyFont="1" applyBorder="1" applyAlignment="1" applyProtection="1">
      <alignment horizontal="center" vertical="center" shrinkToFit="1"/>
      <protection locked="0"/>
    </xf>
    <xf numFmtId="179" fontId="23" fillId="0" borderId="106" xfId="0" applyNumberFormat="1" applyFont="1" applyBorder="1" applyAlignment="1" applyProtection="1">
      <alignment horizontal="center" vertical="center" shrinkToFit="1"/>
      <protection locked="0"/>
    </xf>
    <xf numFmtId="179" fontId="23" fillId="0" borderId="124" xfId="0" applyNumberFormat="1" applyFont="1" applyBorder="1" applyAlignment="1" applyProtection="1">
      <alignment horizontal="center" vertical="center" shrinkToFit="1"/>
      <protection locked="0"/>
    </xf>
    <xf numFmtId="49" fontId="43" fillId="0" borderId="125" xfId="0" applyNumberFormat="1" applyFont="1" applyBorder="1" applyAlignment="1" applyProtection="1">
      <alignment horizontal="center" vertical="center" shrinkToFit="1"/>
      <protection locked="0"/>
    </xf>
    <xf numFmtId="49" fontId="43" fillId="0" borderId="126" xfId="0" applyNumberFormat="1" applyFont="1" applyBorder="1" applyAlignment="1" applyProtection="1">
      <alignment horizontal="center" vertical="center" shrinkToFit="1"/>
      <protection locked="0"/>
    </xf>
    <xf numFmtId="49" fontId="43" fillId="0" borderId="127" xfId="0" applyNumberFormat="1" applyFont="1" applyBorder="1" applyAlignment="1" applyProtection="1">
      <alignment horizontal="center" vertical="center" shrinkToFit="1"/>
      <protection locked="0"/>
    </xf>
    <xf numFmtId="179" fontId="23" fillId="0" borderId="128" xfId="0" applyNumberFormat="1" applyFont="1" applyBorder="1" applyAlignment="1" applyProtection="1">
      <alignment horizontal="center" vertical="center" shrinkToFit="1"/>
      <protection locked="0"/>
    </xf>
    <xf numFmtId="179" fontId="23" fillId="0" borderId="30" xfId="0" applyNumberFormat="1" applyFont="1" applyBorder="1" applyAlignment="1" applyProtection="1">
      <alignment horizontal="center" vertical="center" shrinkToFit="1"/>
      <protection locked="0"/>
    </xf>
    <xf numFmtId="179" fontId="23" fillId="0" borderId="32" xfId="0" applyNumberFormat="1" applyFont="1" applyBorder="1" applyAlignment="1" applyProtection="1">
      <alignment horizontal="center" vertical="center" shrinkToFit="1"/>
      <protection locked="0"/>
    </xf>
    <xf numFmtId="179" fontId="23" fillId="0" borderId="129" xfId="0" applyNumberFormat="1" applyFont="1" applyBorder="1" applyAlignment="1" applyProtection="1">
      <alignment horizontal="center" vertical="center" shrinkToFit="1"/>
      <protection locked="0"/>
    </xf>
    <xf numFmtId="181" fontId="43" fillId="0" borderId="130" xfId="0" applyNumberFormat="1" applyFont="1" applyBorder="1" applyAlignment="1" applyProtection="1">
      <alignment horizontal="center" vertical="center" shrinkToFit="1"/>
      <protection locked="0"/>
    </xf>
    <xf numFmtId="181" fontId="43" fillId="0" borderId="6" xfId="0" applyNumberFormat="1" applyFont="1" applyBorder="1" applyAlignment="1" applyProtection="1">
      <alignment horizontal="center" vertical="center" shrinkToFit="1"/>
      <protection locked="0"/>
    </xf>
    <xf numFmtId="181" fontId="43" fillId="0" borderId="131" xfId="0" applyNumberFormat="1" applyFont="1" applyBorder="1" applyAlignment="1" applyProtection="1">
      <alignment horizontal="center" vertical="center" shrinkToFit="1"/>
      <protection locked="0"/>
    </xf>
    <xf numFmtId="179" fontId="23" fillId="0" borderId="132" xfId="0" applyNumberFormat="1" applyFont="1" applyBorder="1" applyAlignment="1" applyProtection="1">
      <alignment horizontal="center" vertical="center" shrinkToFit="1"/>
      <protection locked="0"/>
    </xf>
    <xf numFmtId="179" fontId="23" fillId="0" borderId="102" xfId="0" applyNumberFormat="1" applyFont="1" applyBorder="1" applyAlignment="1" applyProtection="1">
      <alignment horizontal="center" vertical="center" shrinkToFit="1"/>
      <protection locked="0"/>
    </xf>
    <xf numFmtId="179" fontId="23" fillId="0" borderId="4" xfId="0" applyNumberFormat="1" applyFont="1" applyBorder="1" applyAlignment="1" applyProtection="1">
      <alignment horizontal="center" vertical="center" shrinkToFit="1"/>
      <protection locked="0"/>
    </xf>
    <xf numFmtId="179" fontId="23" fillId="0" borderId="3" xfId="0" applyNumberFormat="1" applyFont="1" applyBorder="1" applyAlignment="1" applyProtection="1">
      <alignment horizontal="center" vertical="center" shrinkToFit="1"/>
      <protection locked="0"/>
    </xf>
    <xf numFmtId="181" fontId="43" fillId="0" borderId="113" xfId="0" applyNumberFormat="1" applyFont="1" applyBorder="1" applyAlignment="1" applyProtection="1">
      <alignment horizontal="center" vertical="center" shrinkToFit="1"/>
      <protection locked="0"/>
    </xf>
    <xf numFmtId="181" fontId="43" fillId="0" borderId="1" xfId="0" applyNumberFormat="1" applyFont="1" applyBorder="1" applyAlignment="1" applyProtection="1">
      <alignment horizontal="center" vertical="center" shrinkToFit="1"/>
      <protection locked="0"/>
    </xf>
    <xf numFmtId="181" fontId="43" fillId="0" borderId="112" xfId="0" applyNumberFormat="1" applyFont="1" applyBorder="1" applyAlignment="1" applyProtection="1">
      <alignment horizontal="center" vertical="center" shrinkToFit="1"/>
      <protection locked="0"/>
    </xf>
    <xf numFmtId="179" fontId="23" fillId="0" borderId="133" xfId="0" applyNumberFormat="1" applyFont="1" applyBorder="1" applyAlignment="1" applyProtection="1">
      <alignment horizontal="center" vertical="center" shrinkToFit="1"/>
      <protection locked="0"/>
    </xf>
    <xf numFmtId="0" fontId="43" fillId="14" borderId="10" xfId="0" applyFont="1" applyFill="1" applyBorder="1" applyAlignment="1" applyProtection="1">
      <alignment horizontal="center" vertical="center" shrinkToFit="1"/>
      <protection locked="0"/>
    </xf>
    <xf numFmtId="0" fontId="43" fillId="14" borderId="103" xfId="0" applyFont="1" applyFill="1" applyBorder="1" applyAlignment="1" applyProtection="1">
      <alignment horizontal="center" vertical="center" shrinkToFit="1"/>
      <protection locked="0"/>
    </xf>
    <xf numFmtId="49" fontId="43" fillId="14" borderId="6" xfId="0" applyNumberFormat="1" applyFont="1" applyFill="1" applyBorder="1" applyAlignment="1" applyProtection="1">
      <alignment horizontal="center" vertical="center" shrinkToFit="1"/>
      <protection locked="0"/>
    </xf>
    <xf numFmtId="49" fontId="43" fillId="14" borderId="140" xfId="0" applyNumberFormat="1" applyFont="1" applyFill="1" applyBorder="1" applyAlignment="1" applyProtection="1">
      <alignment horizontal="center" vertical="center" shrinkToFit="1"/>
      <protection locked="0"/>
    </xf>
    <xf numFmtId="179" fontId="43" fillId="14" borderId="10" xfId="0" applyNumberFormat="1" applyFont="1" applyFill="1" applyBorder="1" applyAlignment="1" applyProtection="1">
      <alignment horizontal="center" vertical="center" shrinkToFit="1"/>
      <protection locked="0"/>
    </xf>
    <xf numFmtId="179" fontId="43" fillId="14" borderId="141" xfId="0" applyNumberFormat="1" applyFont="1" applyFill="1" applyBorder="1" applyAlignment="1" applyProtection="1">
      <alignment horizontal="center" vertical="center" shrinkToFit="1"/>
      <protection locked="0"/>
    </xf>
    <xf numFmtId="49" fontId="43" fillId="0" borderId="6" xfId="0" applyNumberFormat="1" applyFont="1" applyBorder="1" applyAlignment="1" applyProtection="1">
      <alignment horizontal="center" vertical="center" shrinkToFit="1"/>
      <protection locked="0"/>
    </xf>
    <xf numFmtId="49" fontId="43" fillId="0" borderId="131" xfId="0" applyNumberFormat="1" applyFont="1" applyBorder="1" applyAlignment="1" applyProtection="1">
      <alignment horizontal="center" vertical="center" shrinkToFit="1"/>
      <protection locked="0"/>
    </xf>
    <xf numFmtId="0" fontId="23" fillId="14" borderId="30" xfId="0" applyFont="1" applyFill="1" applyBorder="1" applyAlignment="1" applyProtection="1">
      <alignment horizontal="center" vertical="center" shrinkToFit="1"/>
      <protection locked="0"/>
    </xf>
    <xf numFmtId="0" fontId="23" fillId="14" borderId="132" xfId="0" applyFont="1" applyFill="1" applyBorder="1" applyAlignment="1" applyProtection="1">
      <alignment horizontal="center" vertical="center" shrinkToFit="1"/>
      <protection locked="0"/>
    </xf>
    <xf numFmtId="179" fontId="43" fillId="14" borderId="103" xfId="0" applyNumberFormat="1" applyFont="1" applyFill="1" applyBorder="1" applyAlignment="1" applyProtection="1">
      <alignment horizontal="center" vertical="center" shrinkToFit="1"/>
      <protection locked="0"/>
    </xf>
    <xf numFmtId="49" fontId="43" fillId="0" borderId="134" xfId="0" applyNumberFormat="1" applyFont="1" applyBorder="1" applyAlignment="1" applyProtection="1">
      <alignment horizontal="center" vertical="center" shrinkToFit="1"/>
      <protection locked="0"/>
    </xf>
    <xf numFmtId="49" fontId="43" fillId="0" borderId="135" xfId="0" applyNumberFormat="1" applyFont="1" applyBorder="1" applyAlignment="1" applyProtection="1">
      <alignment horizontal="center" vertical="center" shrinkToFit="1"/>
      <protection locked="0"/>
    </xf>
    <xf numFmtId="49" fontId="43" fillId="0" borderId="136" xfId="0" applyNumberFormat="1" applyFont="1" applyBorder="1" applyAlignment="1" applyProtection="1">
      <alignment horizontal="center" vertical="center" shrinkToFit="1"/>
      <protection locked="0"/>
    </xf>
    <xf numFmtId="49" fontId="43" fillId="0" borderId="137" xfId="0" applyNumberFormat="1" applyFont="1" applyBorder="1" applyAlignment="1" applyProtection="1">
      <alignment horizontal="center" vertical="center" shrinkToFit="1"/>
      <protection locked="0"/>
    </xf>
    <xf numFmtId="49" fontId="43" fillId="0" borderId="138" xfId="0" applyNumberFormat="1" applyFont="1" applyBorder="1" applyAlignment="1" applyProtection="1">
      <alignment horizontal="center" vertical="center" shrinkToFit="1"/>
      <protection locked="0"/>
    </xf>
    <xf numFmtId="49" fontId="43" fillId="0" borderId="139" xfId="0" applyNumberFormat="1" applyFont="1" applyBorder="1" applyAlignment="1" applyProtection="1">
      <alignment horizontal="center" vertical="center" shrinkToFit="1"/>
      <protection locked="0"/>
    </xf>
    <xf numFmtId="0" fontId="21" fillId="0" borderId="143" xfId="0" applyFont="1" applyBorder="1" applyAlignment="1">
      <alignment horizontal="center" vertical="top"/>
    </xf>
    <xf numFmtId="0" fontId="0" fillId="0" borderId="144" xfId="0" applyBorder="1" applyAlignment="1">
      <alignment horizontal="center" vertical="center"/>
    </xf>
    <xf numFmtId="0" fontId="0" fillId="0" borderId="145" xfId="0" applyBorder="1" applyAlignment="1">
      <alignment horizontal="center" vertical="center"/>
    </xf>
    <xf numFmtId="0" fontId="0" fillId="0" borderId="143" xfId="0" applyBorder="1" applyAlignment="1">
      <alignment horizontal="center" vertical="center"/>
    </xf>
    <xf numFmtId="0" fontId="0" fillId="0" borderId="146" xfId="0" applyBorder="1" applyAlignment="1">
      <alignment horizontal="center" vertical="center"/>
    </xf>
    <xf numFmtId="0" fontId="24" fillId="0" borderId="14" xfId="0" applyFont="1" applyBorder="1" applyAlignment="1">
      <alignment horizontal="center"/>
    </xf>
    <xf numFmtId="14" fontId="23" fillId="0" borderId="14" xfId="0" applyNumberFormat="1" applyFont="1" applyBorder="1" applyAlignment="1">
      <alignment horizontal="center"/>
    </xf>
    <xf numFmtId="20" fontId="23" fillId="0" borderId="147" xfId="0" applyNumberFormat="1" applyFont="1" applyBorder="1" applyAlignment="1">
      <alignment horizontal="center"/>
    </xf>
    <xf numFmtId="0" fontId="23" fillId="0" borderId="148" xfId="0" applyFont="1" applyBorder="1" applyAlignment="1">
      <alignment horizontal="center"/>
    </xf>
    <xf numFmtId="49" fontId="23" fillId="0" borderId="14" xfId="0" applyNumberFormat="1" applyFont="1" applyBorder="1" applyAlignment="1">
      <alignment horizontal="center"/>
    </xf>
    <xf numFmtId="49" fontId="19" fillId="0" borderId="149" xfId="0" applyNumberFormat="1" applyFont="1" applyBorder="1" applyAlignment="1" applyProtection="1">
      <alignment vertical="center" shrinkToFit="1"/>
      <protection locked="0"/>
    </xf>
    <xf numFmtId="49" fontId="19" fillId="0" borderId="150" xfId="0" applyNumberFormat="1" applyFont="1" applyBorder="1" applyAlignment="1" applyProtection="1">
      <alignment vertical="center" shrinkToFit="1"/>
      <protection locked="0"/>
    </xf>
    <xf numFmtId="49" fontId="19" fillId="0" borderId="151" xfId="0" applyNumberFormat="1" applyFont="1" applyBorder="1" applyAlignment="1" applyProtection="1">
      <alignment vertical="center" shrinkToFit="1"/>
      <protection locked="0"/>
    </xf>
    <xf numFmtId="49" fontId="19" fillId="0" borderId="152" xfId="0" applyNumberFormat="1" applyFont="1" applyBorder="1" applyAlignment="1" applyProtection="1">
      <alignment vertical="center" shrinkToFit="1"/>
      <protection locked="0"/>
    </xf>
    <xf numFmtId="0" fontId="45" fillId="0" borderId="0" xfId="0" applyFont="1" applyAlignment="1">
      <alignment horizontal="left"/>
    </xf>
    <xf numFmtId="0" fontId="24" fillId="0" borderId="147" xfId="0" applyFont="1" applyBorder="1" applyAlignment="1">
      <alignment horizontal="center"/>
    </xf>
    <xf numFmtId="0" fontId="24" fillId="0" borderId="13" xfId="0" applyFont="1" applyBorder="1" applyAlignment="1">
      <alignment horizontal="center"/>
    </xf>
    <xf numFmtId="179" fontId="23" fillId="10" borderId="30" xfId="0" applyNumberFormat="1" applyFont="1" applyFill="1" applyBorder="1" applyAlignment="1" applyProtection="1">
      <alignment horizontal="center" vertical="center" shrinkToFit="1"/>
      <protection locked="0"/>
    </xf>
    <xf numFmtId="179" fontId="23" fillId="10" borderId="32" xfId="0" applyNumberFormat="1" applyFont="1" applyFill="1" applyBorder="1" applyAlignment="1" applyProtection="1">
      <alignment horizontal="center" vertical="center" shrinkToFit="1"/>
      <protection locked="0"/>
    </xf>
    <xf numFmtId="0" fontId="23" fillId="14" borderId="12" xfId="0" applyFont="1" applyFill="1" applyBorder="1" applyAlignment="1" applyProtection="1">
      <alignment horizontal="center" vertical="center" shrinkToFit="1"/>
      <protection locked="0"/>
    </xf>
    <xf numFmtId="49" fontId="43" fillId="0" borderId="130" xfId="0" applyNumberFormat="1" applyFont="1" applyBorder="1" applyAlignment="1" applyProtection="1">
      <alignment horizontal="center" vertical="center" shrinkToFit="1"/>
      <protection locked="0"/>
    </xf>
    <xf numFmtId="179" fontId="43" fillId="14" borderId="142" xfId="0" applyNumberFormat="1" applyFont="1" applyFill="1" applyBorder="1" applyAlignment="1" applyProtection="1">
      <alignment horizontal="center" vertical="center" shrinkToFit="1"/>
      <protection locked="0"/>
    </xf>
    <xf numFmtId="49" fontId="43" fillId="14" borderId="30" xfId="0" applyNumberFormat="1" applyFont="1" applyFill="1" applyBorder="1" applyAlignment="1" applyProtection="1">
      <alignment horizontal="center" vertical="center" shrinkToFit="1"/>
      <protection locked="0"/>
    </xf>
    <xf numFmtId="181" fontId="43" fillId="0" borderId="153" xfId="0" applyNumberFormat="1" applyFont="1" applyBorder="1" applyAlignment="1" applyProtection="1">
      <alignment horizontal="center" vertical="center" shrinkToFit="1"/>
      <protection locked="0"/>
    </xf>
    <xf numFmtId="181" fontId="43" fillId="0" borderId="154" xfId="0" applyNumberFormat="1" applyFont="1" applyBorder="1" applyAlignment="1" applyProtection="1">
      <alignment horizontal="center" vertical="center" shrinkToFit="1"/>
      <protection locked="0"/>
    </xf>
    <xf numFmtId="49" fontId="43" fillId="12" borderId="6" xfId="0" applyNumberFormat="1" applyFont="1" applyFill="1" applyBorder="1" applyAlignment="1" applyProtection="1">
      <alignment horizontal="center" vertical="center" shrinkToFit="1"/>
      <protection locked="0"/>
    </xf>
    <xf numFmtId="49" fontId="43" fillId="13" borderId="6" xfId="0" applyNumberFormat="1" applyFont="1" applyFill="1" applyBorder="1" applyAlignment="1" applyProtection="1">
      <alignment horizontal="center" vertical="center" shrinkToFit="1"/>
      <protection locked="0"/>
    </xf>
    <xf numFmtId="49" fontId="43" fillId="13" borderId="30" xfId="0" applyNumberFormat="1" applyFont="1" applyFill="1" applyBorder="1" applyAlignment="1" applyProtection="1">
      <alignment horizontal="center" vertical="center" shrinkToFit="1"/>
      <protection locked="0"/>
    </xf>
    <xf numFmtId="49" fontId="64" fillId="0" borderId="135" xfId="0" applyNumberFormat="1" applyFont="1" applyBorder="1" applyAlignment="1" applyProtection="1">
      <alignment horizontal="center" vertical="center" shrinkToFit="1"/>
      <protection locked="0"/>
    </xf>
    <xf numFmtId="49" fontId="64" fillId="0" borderId="138" xfId="0" applyNumberFormat="1" applyFont="1" applyBorder="1" applyAlignment="1" applyProtection="1">
      <alignment horizontal="center" vertical="center" shrinkToFit="1"/>
      <protection locked="0"/>
    </xf>
    <xf numFmtId="49" fontId="64" fillId="0" borderId="137" xfId="0" applyNumberFormat="1" applyFont="1" applyBorder="1" applyAlignment="1" applyProtection="1">
      <alignment horizontal="center" vertical="center" shrinkToFit="1"/>
      <protection locked="0"/>
    </xf>
    <xf numFmtId="49" fontId="64" fillId="0" borderId="139" xfId="0" applyNumberFormat="1" applyFont="1" applyBorder="1" applyAlignment="1" applyProtection="1">
      <alignment horizontal="center" vertical="center" shrinkToFit="1"/>
      <protection locked="0"/>
    </xf>
    <xf numFmtId="49" fontId="43" fillId="13" borderId="140" xfId="0" applyNumberFormat="1" applyFont="1" applyFill="1" applyBorder="1" applyAlignment="1" applyProtection="1">
      <alignment horizontal="center" vertical="center" shrinkToFit="1"/>
      <protection locked="0"/>
    </xf>
    <xf numFmtId="0" fontId="43" fillId="11" borderId="10" xfId="0" applyFont="1" applyFill="1" applyBorder="1" applyAlignment="1" applyProtection="1">
      <alignment horizontal="center" vertical="center" shrinkToFit="1"/>
      <protection locked="0"/>
    </xf>
    <xf numFmtId="0" fontId="43" fillId="11" borderId="103" xfId="0" applyFont="1" applyFill="1" applyBorder="1" applyAlignment="1" applyProtection="1">
      <alignment horizontal="center" vertical="center" shrinkToFit="1"/>
      <protection locked="0"/>
    </xf>
    <xf numFmtId="179" fontId="43" fillId="11" borderId="10" xfId="0" applyNumberFormat="1" applyFont="1" applyFill="1" applyBorder="1" applyAlignment="1" applyProtection="1">
      <alignment horizontal="center" vertical="center" shrinkToFit="1"/>
      <protection locked="0"/>
    </xf>
    <xf numFmtId="179" fontId="43" fillId="11" borderId="103" xfId="0" applyNumberFormat="1" applyFont="1" applyFill="1" applyBorder="1" applyAlignment="1" applyProtection="1">
      <alignment horizontal="center" vertical="center" shrinkToFit="1"/>
      <protection locked="0"/>
    </xf>
    <xf numFmtId="179" fontId="43" fillId="11" borderId="142" xfId="0" applyNumberFormat="1" applyFont="1" applyFill="1" applyBorder="1" applyAlignment="1" applyProtection="1">
      <alignment horizontal="center" vertical="center" shrinkToFit="1"/>
      <protection locked="0"/>
    </xf>
    <xf numFmtId="179" fontId="43" fillId="11" borderId="141" xfId="0" applyNumberFormat="1" applyFont="1" applyFill="1" applyBorder="1" applyAlignment="1" applyProtection="1">
      <alignment horizontal="center" vertical="center" shrinkToFit="1"/>
      <protection locked="0"/>
    </xf>
    <xf numFmtId="0" fontId="23" fillId="13" borderId="30" xfId="0" applyFont="1" applyFill="1" applyBorder="1" applyAlignment="1" applyProtection="1">
      <alignment horizontal="center" vertical="center" shrinkToFit="1"/>
      <protection locked="0"/>
    </xf>
    <xf numFmtId="0" fontId="23" fillId="13" borderId="12" xfId="0" applyFont="1" applyFill="1" applyBorder="1" applyAlignment="1" applyProtection="1">
      <alignment horizontal="center" vertical="center" shrinkToFit="1"/>
      <protection locked="0"/>
    </xf>
    <xf numFmtId="49" fontId="64" fillId="0" borderId="6" xfId="0" applyNumberFormat="1" applyFont="1" applyBorder="1" applyAlignment="1" applyProtection="1">
      <alignment horizontal="center" vertical="center" shrinkToFit="1"/>
      <protection locked="0"/>
    </xf>
    <xf numFmtId="49" fontId="64" fillId="0" borderId="131" xfId="0" applyNumberFormat="1" applyFont="1" applyBorder="1" applyAlignment="1" applyProtection="1">
      <alignment horizontal="center" vertical="center" shrinkToFit="1"/>
      <protection locked="0"/>
    </xf>
    <xf numFmtId="0" fontId="23" fillId="13" borderId="132" xfId="0" applyFont="1" applyFill="1" applyBorder="1" applyAlignment="1" applyProtection="1">
      <alignment horizontal="center" vertical="center" shrinkToFit="1"/>
      <protection locked="0"/>
    </xf>
    <xf numFmtId="179" fontId="23" fillId="12" borderId="102" xfId="0" applyNumberFormat="1" applyFont="1" applyFill="1" applyBorder="1" applyAlignment="1" applyProtection="1">
      <alignment horizontal="center" vertical="center" shrinkToFit="1"/>
      <protection locked="0"/>
    </xf>
    <xf numFmtId="179" fontId="23" fillId="12" borderId="4" xfId="0" applyNumberFormat="1" applyFont="1" applyFill="1" applyBorder="1" applyAlignment="1" applyProtection="1">
      <alignment horizontal="center" vertical="center" shrinkToFit="1"/>
      <protection locked="0"/>
    </xf>
    <xf numFmtId="181" fontId="64" fillId="0" borderId="1" xfId="0" applyNumberFormat="1" applyFont="1" applyBorder="1" applyAlignment="1" applyProtection="1">
      <alignment horizontal="center" vertical="center" shrinkToFit="1"/>
      <protection locked="0"/>
    </xf>
    <xf numFmtId="181" fontId="64" fillId="0" borderId="112" xfId="0" applyNumberFormat="1" applyFont="1" applyBorder="1" applyAlignment="1" applyProtection="1">
      <alignment horizontal="center" vertical="center" shrinkToFit="1"/>
      <protection locked="0"/>
    </xf>
    <xf numFmtId="179" fontId="23" fillId="11" borderId="102" xfId="0" applyNumberFormat="1" applyFont="1" applyFill="1" applyBorder="1" applyAlignment="1" applyProtection="1">
      <alignment horizontal="center" vertical="center" shrinkToFit="1"/>
      <protection locked="0"/>
    </xf>
    <xf numFmtId="179" fontId="23" fillId="11" borderId="4" xfId="0" applyNumberFormat="1" applyFont="1" applyFill="1" applyBorder="1" applyAlignment="1" applyProtection="1">
      <alignment horizontal="center" vertical="center" shrinkToFit="1"/>
      <protection locked="0"/>
    </xf>
    <xf numFmtId="179" fontId="23" fillId="11" borderId="133" xfId="0" applyNumberFormat="1" applyFont="1" applyFill="1" applyBorder="1" applyAlignment="1" applyProtection="1">
      <alignment horizontal="center" vertical="center" shrinkToFit="1"/>
      <protection locked="0"/>
    </xf>
    <xf numFmtId="179" fontId="23" fillId="11" borderId="3" xfId="0" applyNumberFormat="1" applyFont="1" applyFill="1" applyBorder="1" applyAlignment="1" applyProtection="1">
      <alignment horizontal="center" vertical="center" shrinkToFit="1"/>
      <protection locked="0"/>
    </xf>
    <xf numFmtId="179" fontId="23" fillId="0" borderId="115" xfId="0" applyNumberFormat="1" applyFont="1" applyBorder="1" applyAlignment="1" applyProtection="1">
      <alignment horizontal="center" vertical="center" shrinkToFit="1"/>
      <protection locked="0"/>
    </xf>
    <xf numFmtId="179" fontId="23" fillId="0" borderId="114" xfId="0" applyNumberFormat="1" applyFont="1" applyBorder="1" applyAlignment="1" applyProtection="1">
      <alignment horizontal="center" vertical="center" shrinkToFit="1"/>
      <protection locked="0"/>
    </xf>
    <xf numFmtId="179" fontId="23" fillId="0" borderId="155" xfId="0" applyNumberFormat="1" applyFont="1" applyBorder="1" applyAlignment="1" applyProtection="1">
      <alignment horizontal="center" vertical="center" shrinkToFit="1"/>
      <protection locked="0"/>
    </xf>
    <xf numFmtId="181" fontId="64" fillId="0" borderId="154" xfId="0" applyNumberFormat="1" applyFont="1" applyBorder="1" applyAlignment="1" applyProtection="1">
      <alignment horizontal="center" vertical="center" shrinkToFit="1"/>
      <protection locked="0"/>
    </xf>
    <xf numFmtId="181" fontId="64" fillId="0" borderId="156" xfId="0" applyNumberFormat="1" applyFont="1" applyBorder="1" applyAlignment="1" applyProtection="1">
      <alignment horizontal="center" vertical="center" shrinkToFit="1"/>
      <protection locked="0"/>
    </xf>
    <xf numFmtId="49" fontId="47" fillId="12" borderId="115" xfId="0" applyNumberFormat="1" applyFont="1" applyFill="1" applyBorder="1" applyAlignment="1" applyProtection="1">
      <alignment horizontal="center" vertical="center" shrinkToFit="1"/>
      <protection locked="0"/>
    </xf>
    <xf numFmtId="49" fontId="23" fillId="12" borderId="114" xfId="0" applyNumberFormat="1" applyFont="1" applyFill="1" applyBorder="1" applyAlignment="1" applyProtection="1">
      <alignment horizontal="center" vertical="center" shrinkToFit="1"/>
      <protection locked="0"/>
    </xf>
    <xf numFmtId="179" fontId="23" fillId="0" borderId="157" xfId="0" applyNumberFormat="1" applyFont="1" applyBorder="1" applyAlignment="1" applyProtection="1">
      <alignment horizontal="center" vertical="center" shrinkToFit="1"/>
      <protection locked="0"/>
    </xf>
    <xf numFmtId="181" fontId="64" fillId="0" borderId="6" xfId="0" applyNumberFormat="1" applyFont="1" applyBorder="1" applyAlignment="1" applyProtection="1">
      <alignment horizontal="center" vertical="center" shrinkToFit="1"/>
      <protection locked="0"/>
    </xf>
    <xf numFmtId="181" fontId="64" fillId="0" borderId="131" xfId="0" applyNumberFormat="1" applyFont="1" applyBorder="1" applyAlignment="1" applyProtection="1">
      <alignment horizontal="center" vertical="center" shrinkToFit="1"/>
      <protection locked="0"/>
    </xf>
    <xf numFmtId="0" fontId="43" fillId="0" borderId="102" xfId="0" applyFont="1" applyBorder="1" applyAlignment="1" applyProtection="1">
      <alignment horizontal="center" vertical="center" shrinkToFit="1"/>
      <protection locked="0"/>
    </xf>
    <xf numFmtId="0" fontId="43" fillId="0" borderId="4" xfId="0" applyFont="1" applyBorder="1" applyAlignment="1" applyProtection="1">
      <alignment horizontal="center" vertical="center" shrinkToFit="1"/>
      <protection locked="0"/>
    </xf>
    <xf numFmtId="49" fontId="47" fillId="0" borderId="115" xfId="0" applyNumberFormat="1" applyFont="1" applyBorder="1" applyAlignment="1" applyProtection="1">
      <alignment horizontal="center" vertical="center" shrinkToFit="1"/>
      <protection locked="0"/>
    </xf>
    <xf numFmtId="49" fontId="23" fillId="0" borderId="114" xfId="0" applyNumberFormat="1" applyFont="1" applyBorder="1" applyAlignment="1" applyProtection="1">
      <alignment horizontal="center" vertical="center" shrinkToFit="1"/>
      <protection locked="0"/>
    </xf>
    <xf numFmtId="49" fontId="23" fillId="0" borderId="102" xfId="0" applyNumberFormat="1" applyFont="1" applyBorder="1" applyAlignment="1" applyProtection="1">
      <alignment horizontal="center" vertical="center" shrinkToFit="1"/>
      <protection locked="0"/>
    </xf>
    <xf numFmtId="49" fontId="23" fillId="0" borderId="133" xfId="0" applyNumberFormat="1" applyFont="1" applyBorder="1" applyAlignment="1" applyProtection="1">
      <alignment horizontal="center" vertical="center" shrinkToFit="1"/>
      <protection locked="0"/>
    </xf>
    <xf numFmtId="49" fontId="23" fillId="0" borderId="3" xfId="0" applyNumberFormat="1" applyFont="1" applyBorder="1" applyAlignment="1" applyProtection="1">
      <alignment horizontal="center" vertical="center" shrinkToFit="1"/>
      <protection locked="0"/>
    </xf>
    <xf numFmtId="0" fontId="43" fillId="11" borderId="102" xfId="0" applyFont="1" applyFill="1" applyBorder="1" applyAlignment="1" applyProtection="1">
      <alignment horizontal="center" vertical="center" shrinkToFit="1"/>
      <protection locked="0"/>
    </xf>
    <xf numFmtId="0" fontId="43" fillId="11" borderId="4" xfId="0" applyFont="1" applyFill="1" applyBorder="1" applyAlignment="1" applyProtection="1">
      <alignment horizontal="center" vertical="center" shrinkToFit="1"/>
      <protection locked="0"/>
    </xf>
    <xf numFmtId="179" fontId="23" fillId="0" borderId="12" xfId="0" applyNumberFormat="1" applyFont="1" applyBorder="1" applyAlignment="1" applyProtection="1">
      <alignment horizontal="center" vertical="center" shrinkToFit="1"/>
      <protection locked="0"/>
    </xf>
    <xf numFmtId="49" fontId="47" fillId="0" borderId="102" xfId="0" applyNumberFormat="1" applyFont="1" applyBorder="1" applyAlignment="1" applyProtection="1">
      <alignment horizontal="center" vertical="center" shrinkToFit="1"/>
      <protection locked="0"/>
    </xf>
    <xf numFmtId="49" fontId="23" fillId="0" borderId="4" xfId="0" applyNumberFormat="1" applyFont="1" applyBorder="1" applyAlignment="1" applyProtection="1">
      <alignment horizontal="center" vertical="center" shrinkToFit="1"/>
      <protection locked="0"/>
    </xf>
    <xf numFmtId="0" fontId="56" fillId="0" borderId="163" xfId="14" applyBorder="1" applyAlignment="1">
      <alignment horizontal="center" vertical="center"/>
    </xf>
    <xf numFmtId="0" fontId="56" fillId="0" borderId="164" xfId="14" applyBorder="1" applyAlignment="1">
      <alignment horizontal="center" vertical="center"/>
    </xf>
    <xf numFmtId="0" fontId="56" fillId="0" borderId="165" xfId="14" applyBorder="1" applyAlignment="1">
      <alignment horizontal="center" vertical="center"/>
    </xf>
    <xf numFmtId="0" fontId="56" fillId="0" borderId="161" xfId="14" applyBorder="1" applyAlignment="1">
      <alignment horizontal="center" vertical="center"/>
    </xf>
    <xf numFmtId="0" fontId="56" fillId="0" borderId="162" xfId="14" applyBorder="1" applyAlignment="1">
      <alignment horizontal="center" vertical="center"/>
    </xf>
    <xf numFmtId="0" fontId="66" fillId="0" borderId="163" xfId="14" applyFont="1" applyBorder="1" applyAlignment="1">
      <alignment horizontal="center" vertical="center"/>
    </xf>
    <xf numFmtId="0" fontId="66" fillId="0" borderId="164" xfId="14" applyFont="1" applyBorder="1" applyAlignment="1">
      <alignment horizontal="center" vertical="center"/>
    </xf>
    <xf numFmtId="0" fontId="66" fillId="0" borderId="165" xfId="14" applyFont="1" applyBorder="1" applyAlignment="1">
      <alignment horizontal="center" vertical="center"/>
    </xf>
    <xf numFmtId="0" fontId="56" fillId="0" borderId="166" xfId="14" applyBorder="1" applyAlignment="1">
      <alignment horizontal="center" vertical="center"/>
    </xf>
    <xf numFmtId="0" fontId="56" fillId="0" borderId="167" xfId="14" applyBorder="1" applyAlignment="1">
      <alignment horizontal="center" vertical="center"/>
    </xf>
    <xf numFmtId="0" fontId="56" fillId="0" borderId="168" xfId="14" applyBorder="1" applyAlignment="1">
      <alignment horizontal="center" vertical="center"/>
    </xf>
    <xf numFmtId="0" fontId="56" fillId="0" borderId="159" xfId="14" applyBorder="1" applyAlignment="1">
      <alignment horizontal="center" vertical="center"/>
    </xf>
    <xf numFmtId="0" fontId="56" fillId="0" borderId="169" xfId="14" applyBorder="1" applyAlignment="1">
      <alignment horizontal="center" vertical="center"/>
    </xf>
    <xf numFmtId="0" fontId="56" fillId="0" borderId="170" xfId="14" applyBorder="1" applyAlignment="1">
      <alignment horizontal="center" vertical="center"/>
    </xf>
    <xf numFmtId="0" fontId="65" fillId="18" borderId="120" xfId="14" applyFont="1" applyFill="1" applyBorder="1" applyAlignment="1">
      <alignment horizontal="center" vertical="center" wrapText="1"/>
    </xf>
    <xf numFmtId="0" fontId="65" fillId="18" borderId="144" xfId="14" applyFont="1" applyFill="1" applyBorder="1" applyAlignment="1">
      <alignment horizontal="center" vertical="center" wrapText="1"/>
    </xf>
    <xf numFmtId="0" fontId="65" fillId="18" borderId="145" xfId="14" applyFont="1" applyFill="1" applyBorder="1" applyAlignment="1">
      <alignment horizontal="center" vertical="center" wrapText="1"/>
    </xf>
    <xf numFmtId="0" fontId="65" fillId="18" borderId="11" xfId="14" applyFont="1" applyFill="1" applyBorder="1" applyAlignment="1">
      <alignment horizontal="center" vertical="center" wrapText="1"/>
    </xf>
    <xf numFmtId="0" fontId="65" fillId="18" borderId="0" xfId="14" applyFont="1" applyFill="1" applyAlignment="1">
      <alignment horizontal="center" vertical="center" wrapText="1"/>
    </xf>
    <xf numFmtId="0" fontId="65" fillId="18" borderId="158" xfId="14" applyFont="1" applyFill="1" applyBorder="1" applyAlignment="1">
      <alignment horizontal="center" vertical="center" wrapText="1"/>
    </xf>
    <xf numFmtId="0" fontId="65" fillId="18" borderId="118" xfId="14" applyFont="1" applyFill="1" applyBorder="1" applyAlignment="1">
      <alignment horizontal="center" vertical="center" wrapText="1"/>
    </xf>
    <xf numFmtId="0" fontId="65" fillId="18" borderId="143" xfId="14" applyFont="1" applyFill="1" applyBorder="1" applyAlignment="1">
      <alignment horizontal="center" vertical="center" wrapText="1"/>
    </xf>
    <xf numFmtId="0" fontId="65" fillId="18" borderId="146" xfId="14" applyFont="1" applyFill="1" applyBorder="1" applyAlignment="1">
      <alignment horizontal="center" vertical="center" wrapText="1"/>
    </xf>
    <xf numFmtId="0" fontId="56" fillId="0" borderId="160" xfId="14" applyBorder="1" applyAlignment="1">
      <alignment horizontal="center" vertical="center"/>
    </xf>
    <xf numFmtId="0" fontId="66" fillId="0" borderId="163" xfId="14" applyFont="1" applyBorder="1" applyAlignment="1">
      <alignment horizontal="center" vertical="center" wrapText="1"/>
    </xf>
    <xf numFmtId="0" fontId="66" fillId="0" borderId="164" xfId="14" applyFont="1" applyBorder="1" applyAlignment="1">
      <alignment horizontal="center" vertical="center" wrapText="1"/>
    </xf>
    <xf numFmtId="0" fontId="66" fillId="0" borderId="165" xfId="14" applyFont="1" applyBorder="1" applyAlignment="1">
      <alignment horizontal="center" vertical="center" wrapText="1"/>
    </xf>
    <xf numFmtId="0" fontId="56" fillId="0" borderId="171" xfId="14" applyBorder="1" applyAlignment="1">
      <alignment horizontal="center" vertical="center"/>
    </xf>
    <xf numFmtId="0" fontId="56" fillId="0" borderId="147" xfId="14" applyBorder="1" applyAlignment="1">
      <alignment horizontal="left" vertical="center"/>
    </xf>
    <xf numFmtId="0" fontId="56" fillId="0" borderId="13" xfId="14" applyBorder="1" applyAlignment="1">
      <alignment horizontal="left" vertical="center"/>
    </xf>
    <xf numFmtId="0" fontId="56" fillId="0" borderId="148" xfId="14" applyBorder="1" applyAlignment="1">
      <alignment horizontal="left" vertical="center"/>
    </xf>
    <xf numFmtId="0" fontId="66" fillId="0" borderId="166" xfId="14" applyFont="1" applyBorder="1" applyAlignment="1">
      <alignment horizontal="center" vertical="center"/>
    </xf>
    <xf numFmtId="0" fontId="66" fillId="0" borderId="167" xfId="14" applyFont="1" applyBorder="1" applyAlignment="1">
      <alignment horizontal="center" vertical="center"/>
    </xf>
    <xf numFmtId="0" fontId="67" fillId="9" borderId="168" xfId="14" applyFont="1" applyFill="1" applyBorder="1" applyAlignment="1">
      <alignment horizontal="center" vertical="center"/>
    </xf>
    <xf numFmtId="0" fontId="67" fillId="9" borderId="159" xfId="14" applyFont="1" applyFill="1" applyBorder="1" applyAlignment="1">
      <alignment horizontal="center" vertical="center"/>
    </xf>
    <xf numFmtId="0" fontId="67" fillId="0" borderId="169" xfId="14" applyFont="1" applyBorder="1" applyAlignment="1">
      <alignment horizontal="center" vertical="center"/>
    </xf>
    <xf numFmtId="0" fontId="67" fillId="0" borderId="161" xfId="14" applyFont="1" applyBorder="1" applyAlignment="1">
      <alignment horizontal="center" vertical="center"/>
    </xf>
    <xf numFmtId="0" fontId="67" fillId="0" borderId="163" xfId="14" applyFont="1" applyBorder="1" applyAlignment="1">
      <alignment horizontal="center" vertical="center"/>
    </xf>
    <xf numFmtId="0" fontId="67" fillId="0" borderId="164" xfId="14" applyFont="1" applyBorder="1" applyAlignment="1">
      <alignment horizontal="center" vertical="center"/>
    </xf>
    <xf numFmtId="0" fontId="67" fillId="0" borderId="165" xfId="14" applyFont="1" applyBorder="1" applyAlignment="1">
      <alignment horizontal="center" vertical="center"/>
    </xf>
    <xf numFmtId="0" fontId="66" fillId="0" borderId="170" xfId="14" applyFont="1" applyBorder="1" applyAlignment="1">
      <alignment horizontal="center" vertical="center"/>
    </xf>
    <xf numFmtId="0" fontId="67" fillId="9" borderId="160" xfId="14" applyFont="1" applyFill="1" applyBorder="1" applyAlignment="1">
      <alignment horizontal="center" vertical="center"/>
    </xf>
    <xf numFmtId="0" fontId="67" fillId="0" borderId="162" xfId="14" applyFont="1" applyBorder="1" applyAlignment="1">
      <alignment horizontal="center" vertical="center"/>
    </xf>
    <xf numFmtId="0" fontId="66" fillId="0" borderId="169" xfId="14" applyFont="1" applyBorder="1" applyAlignment="1">
      <alignment horizontal="center" vertical="center"/>
    </xf>
    <xf numFmtId="0" fontId="66" fillId="0" borderId="161" xfId="14" applyFont="1" applyBorder="1" applyAlignment="1">
      <alignment horizontal="center" vertical="center"/>
    </xf>
    <xf numFmtId="0" fontId="67" fillId="9" borderId="169" xfId="14" applyFont="1" applyFill="1" applyBorder="1" applyAlignment="1">
      <alignment horizontal="center" vertical="center"/>
    </xf>
    <xf numFmtId="0" fontId="67" fillId="9" borderId="161" xfId="14" applyFont="1" applyFill="1" applyBorder="1" applyAlignment="1">
      <alignment horizontal="center" vertical="center"/>
    </xf>
    <xf numFmtId="0" fontId="66" fillId="0" borderId="162" xfId="14" applyFont="1" applyBorder="1" applyAlignment="1">
      <alignment horizontal="center" vertical="center"/>
    </xf>
    <xf numFmtId="0" fontId="67" fillId="9" borderId="162" xfId="14" applyFont="1" applyFill="1" applyBorder="1" applyAlignment="1">
      <alignment horizontal="center" vertical="center"/>
    </xf>
    <xf numFmtId="0" fontId="66" fillId="0" borderId="171" xfId="14" applyFont="1" applyBorder="1" applyAlignment="1">
      <alignment horizontal="center" vertical="center"/>
    </xf>
    <xf numFmtId="0" fontId="3" fillId="3" borderId="31" xfId="0" applyFont="1" applyFill="1" applyBorder="1" applyAlignment="1">
      <alignment horizontal="left" vertical="center" shrinkToFit="1"/>
    </xf>
    <xf numFmtId="0" fontId="3" fillId="3" borderId="13" xfId="0" applyFont="1" applyFill="1" applyBorder="1" applyAlignment="1">
      <alignment horizontal="left" vertical="center" shrinkToFit="1"/>
    </xf>
    <xf numFmtId="0" fontId="3" fillId="3" borderId="148" xfId="0" applyFont="1" applyFill="1" applyBorder="1" applyAlignment="1">
      <alignment horizontal="left" vertical="center" shrinkToFit="1"/>
    </xf>
    <xf numFmtId="0" fontId="12" fillId="0" borderId="9" xfId="0" applyFont="1" applyBorder="1" applyAlignment="1">
      <alignment horizontal="center" vertical="center" shrinkToFit="1"/>
    </xf>
    <xf numFmtId="0" fontId="12" fillId="0" borderId="28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 shrinkToFit="1"/>
    </xf>
    <xf numFmtId="0" fontId="12" fillId="0" borderId="27" xfId="0" applyFont="1" applyBorder="1" applyAlignment="1">
      <alignment horizontal="center" vertical="center" shrinkToFit="1"/>
    </xf>
    <xf numFmtId="49" fontId="69" fillId="14" borderId="105" xfId="0" applyNumberFormat="1" applyFont="1" applyFill="1" applyBorder="1" applyAlignment="1">
      <alignment vertical="center" shrinkToFit="1"/>
    </xf>
    <xf numFmtId="49" fontId="69" fillId="14" borderId="17" xfId="0" applyNumberFormat="1" applyFont="1" applyFill="1" applyBorder="1" applyAlignment="1">
      <alignment vertical="center" shrinkToFit="1"/>
    </xf>
    <xf numFmtId="49" fontId="69" fillId="14" borderId="180" xfId="0" applyNumberFormat="1" applyFont="1" applyFill="1" applyBorder="1" applyAlignment="1">
      <alignment vertical="center" shrinkToFit="1"/>
    </xf>
    <xf numFmtId="49" fontId="3" fillId="3" borderId="13" xfId="0" applyNumberFormat="1" applyFont="1" applyFill="1" applyBorder="1" applyAlignment="1">
      <alignment vertical="center"/>
    </xf>
    <xf numFmtId="178" fontId="24" fillId="0" borderId="102" xfId="0" applyNumberFormat="1" applyFont="1" applyBorder="1" applyAlignment="1">
      <alignment vertical="center" shrinkToFit="1"/>
    </xf>
    <xf numFmtId="178" fontId="24" fillId="0" borderId="3" xfId="0" applyNumberFormat="1" applyFont="1" applyBorder="1" applyAlignment="1">
      <alignment vertical="center" shrinkToFit="1"/>
    </xf>
    <xf numFmtId="178" fontId="24" fillId="0" borderId="178" xfId="0" applyNumberFormat="1" applyFont="1" applyBorder="1" applyAlignment="1">
      <alignment vertical="center" shrinkToFit="1"/>
    </xf>
    <xf numFmtId="0" fontId="69" fillId="14" borderId="3" xfId="0" applyFont="1" applyFill="1" applyBorder="1" applyAlignment="1">
      <alignment vertical="center" shrinkToFit="1"/>
    </xf>
    <xf numFmtId="0" fontId="69" fillId="14" borderId="178" xfId="0" applyFont="1" applyFill="1" applyBorder="1" applyAlignment="1">
      <alignment vertical="center" shrinkToFit="1"/>
    </xf>
    <xf numFmtId="0" fontId="69" fillId="14" borderId="17" xfId="0" applyFont="1" applyFill="1" applyBorder="1" applyAlignment="1">
      <alignment vertical="center" shrinkToFit="1"/>
    </xf>
    <xf numFmtId="0" fontId="69" fillId="14" borderId="180" xfId="0" applyFont="1" applyFill="1" applyBorder="1" applyAlignment="1">
      <alignment vertical="center" shrinkToFit="1"/>
    </xf>
    <xf numFmtId="49" fontId="69" fillId="14" borderId="172" xfId="0" applyNumberFormat="1" applyFont="1" applyFill="1" applyBorder="1" applyAlignment="1">
      <alignment vertical="center" shrinkToFit="1"/>
    </xf>
    <xf numFmtId="177" fontId="3" fillId="3" borderId="13" xfId="0" applyNumberFormat="1" applyFont="1" applyFill="1" applyBorder="1" applyAlignment="1">
      <alignment vertical="center"/>
    </xf>
    <xf numFmtId="177" fontId="3" fillId="3" borderId="144" xfId="0" applyNumberFormat="1" applyFont="1" applyFill="1" applyBorder="1" applyAlignment="1">
      <alignment vertical="center"/>
    </xf>
    <xf numFmtId="176" fontId="6" fillId="0" borderId="188" xfId="0" applyNumberFormat="1" applyFont="1" applyBorder="1" applyAlignment="1">
      <alignment horizontal="center" vertical="center" shrinkToFit="1"/>
    </xf>
    <xf numFmtId="176" fontId="6" fillId="0" borderId="26" xfId="0" applyNumberFormat="1" applyFont="1" applyBorder="1" applyAlignment="1">
      <alignment horizontal="center" vertical="center" shrinkToFit="1"/>
    </xf>
    <xf numFmtId="0" fontId="7" fillId="0" borderId="144" xfId="0" applyFont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12" fillId="0" borderId="31" xfId="0" applyFont="1" applyBorder="1" applyAlignment="1">
      <alignment horizontal="left" vertical="center"/>
    </xf>
    <xf numFmtId="0" fontId="7" fillId="0" borderId="148" xfId="0" applyFont="1" applyBorder="1" applyAlignment="1">
      <alignment horizontal="left" vertical="center"/>
    </xf>
    <xf numFmtId="176" fontId="6" fillId="0" borderId="31" xfId="0" applyNumberFormat="1" applyFont="1" applyBorder="1" applyAlignment="1">
      <alignment horizontal="center" vertical="center" shrinkToFit="1"/>
    </xf>
    <xf numFmtId="176" fontId="6" fillId="0" borderId="148" xfId="0" applyNumberFormat="1" applyFont="1" applyBorder="1" applyAlignment="1">
      <alignment horizontal="center" vertical="center" shrinkToFit="1"/>
    </xf>
    <xf numFmtId="0" fontId="12" fillId="0" borderId="31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8" xfId="0" applyFont="1" applyBorder="1" applyAlignment="1">
      <alignment horizontal="center" vertical="center"/>
    </xf>
    <xf numFmtId="176" fontId="6" fillId="0" borderId="13" xfId="0" applyNumberFormat="1" applyFont="1" applyBorder="1" applyAlignment="1">
      <alignment horizontal="center" vertical="center" shrinkToFit="1"/>
    </xf>
    <xf numFmtId="181" fontId="12" fillId="0" borderId="31" xfId="0" applyNumberFormat="1" applyFont="1" applyBorder="1" applyAlignment="1" applyProtection="1">
      <alignment horizontal="center" vertical="center" shrinkToFit="1"/>
      <protection locked="0"/>
    </xf>
    <xf numFmtId="181" fontId="12" fillId="0" borderId="13" xfId="0" applyNumberFormat="1" applyFont="1" applyBorder="1" applyAlignment="1" applyProtection="1">
      <alignment horizontal="center" vertical="center" shrinkToFit="1"/>
      <protection locked="0"/>
    </xf>
    <xf numFmtId="181" fontId="12" fillId="0" borderId="148" xfId="0" applyNumberFormat="1" applyFont="1" applyBorder="1" applyAlignment="1" applyProtection="1">
      <alignment horizontal="center" vertical="center" shrinkToFit="1"/>
      <protection locked="0"/>
    </xf>
    <xf numFmtId="179" fontId="12" fillId="0" borderId="31" xfId="0" applyNumberFormat="1" applyFont="1" applyBorder="1" applyAlignment="1" applyProtection="1">
      <alignment horizontal="center" vertical="center" shrinkToFit="1"/>
      <protection locked="0"/>
    </xf>
    <xf numFmtId="179" fontId="12" fillId="0" borderId="13" xfId="0" applyNumberFormat="1" applyFont="1" applyBorder="1" applyAlignment="1" applyProtection="1">
      <alignment horizontal="center" vertical="center" shrinkToFit="1"/>
      <protection locked="0"/>
    </xf>
    <xf numFmtId="179" fontId="12" fillId="0" borderId="148" xfId="0" applyNumberFormat="1" applyFont="1" applyBorder="1" applyAlignment="1" applyProtection="1">
      <alignment horizontal="center" vertical="center" shrinkToFit="1"/>
      <protection locked="0"/>
    </xf>
    <xf numFmtId="176" fontId="12" fillId="0" borderId="181" xfId="0" applyNumberFormat="1" applyFont="1" applyBorder="1" applyAlignment="1">
      <alignment horizontal="center" vertical="center" shrinkToFit="1"/>
    </xf>
    <xf numFmtId="176" fontId="12" fillId="0" borderId="32" xfId="0" applyNumberFormat="1" applyFont="1" applyBorder="1" applyAlignment="1">
      <alignment horizontal="center" vertical="center" shrinkToFit="1"/>
    </xf>
    <xf numFmtId="49" fontId="12" fillId="0" borderId="184" xfId="0" applyNumberFormat="1" applyFont="1" applyBorder="1" applyAlignment="1">
      <alignment horizontal="center" vertical="center" shrinkToFit="1"/>
    </xf>
    <xf numFmtId="0" fontId="0" fillId="0" borderId="103" xfId="0" applyBorder="1"/>
    <xf numFmtId="0" fontId="0" fillId="0" borderId="180" xfId="0" applyBorder="1"/>
    <xf numFmtId="179" fontId="12" fillId="0" borderId="120" xfId="0" applyNumberFormat="1" applyFont="1" applyBorder="1" applyAlignment="1" applyProtection="1">
      <alignment horizontal="center" vertical="center" shrinkToFit="1"/>
      <protection locked="0"/>
    </xf>
    <xf numFmtId="179" fontId="12" fillId="0" borderId="144" xfId="0" applyNumberFormat="1" applyFont="1" applyBorder="1" applyAlignment="1" applyProtection="1">
      <alignment horizontal="center" vertical="center" shrinkToFit="1"/>
      <protection locked="0"/>
    </xf>
    <xf numFmtId="179" fontId="12" fillId="0" borderId="104" xfId="0" applyNumberFormat="1" applyFont="1" applyBorder="1" applyAlignment="1" applyProtection="1">
      <alignment horizontal="center" vertical="center" shrinkToFit="1"/>
      <protection locked="0"/>
    </xf>
    <xf numFmtId="0" fontId="0" fillId="0" borderId="179" xfId="0" applyBorder="1"/>
    <xf numFmtId="176" fontId="12" fillId="0" borderId="105" xfId="0" applyNumberFormat="1" applyFont="1" applyBorder="1" applyAlignment="1">
      <alignment horizontal="center" vertical="center" shrinkToFit="1"/>
    </xf>
    <xf numFmtId="176" fontId="12" fillId="0" borderId="172" xfId="0" applyNumberFormat="1" applyFont="1" applyBorder="1" applyAlignment="1">
      <alignment horizontal="center" vertical="center" shrinkToFit="1"/>
    </xf>
    <xf numFmtId="49" fontId="12" fillId="0" borderId="192" xfId="0" applyNumberFormat="1" applyFont="1" applyBorder="1" applyAlignment="1">
      <alignment horizontal="center" vertical="center" shrinkToFit="1"/>
    </xf>
    <xf numFmtId="0" fontId="0" fillId="0" borderId="192" xfId="0" applyBorder="1"/>
    <xf numFmtId="0" fontId="12" fillId="0" borderId="192" xfId="0" applyFont="1" applyBorder="1" applyAlignment="1">
      <alignment horizontal="center" vertical="center" shrinkToFit="1"/>
    </xf>
    <xf numFmtId="176" fontId="12" fillId="0" borderId="30" xfId="0" applyNumberFormat="1" applyFont="1" applyBorder="1" applyAlignment="1">
      <alignment horizontal="center" vertical="center" shrinkToFit="1"/>
    </xf>
    <xf numFmtId="176" fontId="12" fillId="0" borderId="175" xfId="0" applyNumberFormat="1" applyFont="1" applyBorder="1" applyAlignment="1">
      <alignment horizontal="center" vertical="center" shrinkToFit="1"/>
    </xf>
    <xf numFmtId="0" fontId="0" fillId="0" borderId="172" xfId="0" applyBorder="1"/>
    <xf numFmtId="0" fontId="7" fillId="0" borderId="26" xfId="0" applyFont="1" applyBorder="1" applyAlignment="1">
      <alignment horizontal="center" vertical="center" shrinkToFit="1"/>
    </xf>
    <xf numFmtId="176" fontId="12" fillId="0" borderId="12" xfId="0" applyNumberFormat="1" applyFont="1" applyBorder="1" applyAlignment="1">
      <alignment horizontal="center" vertical="center" shrinkToFit="1"/>
    </xf>
    <xf numFmtId="0" fontId="7" fillId="0" borderId="148" xfId="0" applyFont="1" applyBorder="1" applyAlignment="1">
      <alignment horizontal="center" vertical="center" shrinkToFit="1"/>
    </xf>
    <xf numFmtId="0" fontId="7" fillId="0" borderId="13" xfId="0" applyFont="1" applyBorder="1" applyAlignment="1">
      <alignment horizontal="center" vertical="center" shrinkToFit="1"/>
    </xf>
    <xf numFmtId="49" fontId="10" fillId="3" borderId="13" xfId="0" applyNumberFormat="1" applyFont="1" applyFill="1" applyBorder="1" applyAlignment="1">
      <alignment vertical="center"/>
    </xf>
    <xf numFmtId="0" fontId="7" fillId="3" borderId="13" xfId="0" applyFont="1" applyFill="1" applyBorder="1" applyAlignment="1">
      <alignment vertical="center"/>
    </xf>
    <xf numFmtId="49" fontId="10" fillId="3" borderId="13" xfId="0" applyNumberFormat="1" applyFont="1" applyFill="1" applyBorder="1" applyAlignment="1">
      <alignment horizontal="left" vertical="center"/>
    </xf>
    <xf numFmtId="0" fontId="7" fillId="3" borderId="13" xfId="0" applyFont="1" applyFill="1" applyBorder="1" applyAlignment="1">
      <alignment horizontal="left" vertical="center"/>
    </xf>
    <xf numFmtId="0" fontId="12" fillId="0" borderId="9" xfId="0" applyFont="1" applyBorder="1" applyAlignment="1">
      <alignment horizontal="left" vertical="center" shrinkToFit="1"/>
    </xf>
    <xf numFmtId="179" fontId="12" fillId="0" borderId="10" xfId="0" applyNumberFormat="1" applyFont="1" applyBorder="1" applyAlignment="1" applyProtection="1">
      <alignment horizontal="center" vertical="center" shrinkToFit="1"/>
      <protection locked="0"/>
    </xf>
    <xf numFmtId="179" fontId="12" fillId="0" borderId="179" xfId="0" applyNumberFormat="1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left" vertical="center" shrinkToFit="1"/>
    </xf>
    <xf numFmtId="179" fontId="12" fillId="0" borderId="178" xfId="0" applyNumberFormat="1" applyFont="1" applyBorder="1" applyAlignment="1" applyProtection="1">
      <alignment horizontal="center" vertical="center" shrinkToFit="1"/>
      <protection locked="0"/>
    </xf>
    <xf numFmtId="49" fontId="10" fillId="2" borderId="8" xfId="0" applyNumberFormat="1" applyFont="1" applyFill="1" applyBorder="1" applyAlignment="1">
      <alignment horizontal="center" vertical="center" shrinkToFit="1"/>
    </xf>
    <xf numFmtId="0" fontId="7" fillId="0" borderId="11" xfId="0" applyFont="1" applyBorder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0" fontId="7" fillId="0" borderId="158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left" vertical="center" shrinkToFit="1"/>
    </xf>
    <xf numFmtId="0" fontId="7" fillId="0" borderId="105" xfId="0" applyFont="1" applyBorder="1" applyAlignment="1">
      <alignment vertical="center" shrinkToFit="1"/>
    </xf>
    <xf numFmtId="0" fontId="7" fillId="0" borderId="180" xfId="0" applyFont="1" applyBorder="1" applyAlignment="1">
      <alignment vertical="center" shrinkToFit="1"/>
    </xf>
    <xf numFmtId="14" fontId="12" fillId="0" borderId="31" xfId="0" applyNumberFormat="1" applyFont="1" applyBorder="1" applyAlignment="1">
      <alignment horizontal="center" vertical="center" shrinkToFit="1"/>
    </xf>
    <xf numFmtId="0" fontId="3" fillId="2" borderId="13" xfId="0" applyFont="1" applyFill="1" applyBorder="1" applyAlignment="1">
      <alignment horizontal="center" vertical="center" shrinkToFit="1"/>
    </xf>
    <xf numFmtId="0" fontId="3" fillId="2" borderId="31" xfId="0" applyFont="1" applyFill="1" applyBorder="1" applyAlignment="1">
      <alignment horizontal="center" vertical="center" shrinkToFit="1"/>
    </xf>
    <xf numFmtId="0" fontId="7" fillId="0" borderId="17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75" xfId="0" applyFont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 shrinkToFit="1"/>
    </xf>
    <xf numFmtId="0" fontId="12" fillId="0" borderId="31" xfId="0" applyFont="1" applyBorder="1" applyAlignment="1">
      <alignment horizontal="center" vertical="center" shrinkToFit="1"/>
    </xf>
    <xf numFmtId="0" fontId="12" fillId="0" borderId="148" xfId="0" applyFont="1" applyBorder="1" applyAlignment="1">
      <alignment horizontal="center" vertical="center" shrinkToFit="1"/>
    </xf>
    <xf numFmtId="49" fontId="15" fillId="3" borderId="0" xfId="0" applyNumberFormat="1" applyFont="1" applyFill="1" applyAlignment="1">
      <alignment horizontal="center" vertical="center"/>
    </xf>
    <xf numFmtId="49" fontId="17" fillId="3" borderId="0" xfId="0" applyNumberFormat="1" applyFont="1" applyFill="1" applyAlignment="1">
      <alignment horizontal="center" vertical="center" shrinkToFit="1"/>
    </xf>
    <xf numFmtId="0" fontId="7" fillId="0" borderId="13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7" fillId="0" borderId="13" xfId="0" applyFont="1" applyBorder="1" applyAlignment="1">
      <alignment shrinkToFit="1"/>
    </xf>
    <xf numFmtId="0" fontId="7" fillId="0" borderId="26" xfId="0" applyFont="1" applyBorder="1" applyAlignment="1">
      <alignment shrinkToFit="1"/>
    </xf>
    <xf numFmtId="0" fontId="8" fillId="0" borderId="31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/>
    </xf>
    <xf numFmtId="49" fontId="69" fillId="14" borderId="10" xfId="0" applyNumberFormat="1" applyFont="1" applyFill="1" applyBorder="1" applyAlignment="1">
      <alignment vertical="center" shrinkToFit="1"/>
    </xf>
    <xf numFmtId="49" fontId="69" fillId="14" borderId="142" xfId="0" applyNumberFormat="1" applyFont="1" applyFill="1" applyBorder="1" applyAlignment="1">
      <alignment vertical="center" shrinkToFit="1"/>
    </xf>
    <xf numFmtId="49" fontId="69" fillId="14" borderId="103" xfId="0" applyNumberFormat="1" applyFont="1" applyFill="1" applyBorder="1" applyAlignment="1">
      <alignment vertical="center" shrinkToFit="1"/>
    </xf>
    <xf numFmtId="49" fontId="69" fillId="14" borderId="179" xfId="0" applyNumberFormat="1" applyFont="1" applyFill="1" applyBorder="1" applyAlignment="1">
      <alignment vertical="center" shrinkToFit="1"/>
    </xf>
    <xf numFmtId="178" fontId="24" fillId="0" borderId="10" xfId="0" applyNumberFormat="1" applyFont="1" applyBorder="1" applyAlignment="1">
      <alignment vertical="center" shrinkToFit="1"/>
    </xf>
    <xf numFmtId="178" fontId="24" fillId="0" borderId="142" xfId="0" applyNumberFormat="1" applyFont="1" applyBorder="1" applyAlignment="1">
      <alignment vertical="center" shrinkToFit="1"/>
    </xf>
    <xf numFmtId="178" fontId="24" fillId="0" borderId="179" xfId="0" applyNumberFormat="1" applyFont="1" applyBorder="1" applyAlignment="1">
      <alignment vertical="center" shrinkToFit="1"/>
    </xf>
    <xf numFmtId="0" fontId="69" fillId="14" borderId="142" xfId="0" applyFont="1" applyFill="1" applyBorder="1" applyAlignment="1">
      <alignment vertical="center" shrinkToFit="1"/>
    </xf>
    <xf numFmtId="0" fontId="69" fillId="14" borderId="179" xfId="0" applyFont="1" applyFill="1" applyBorder="1" applyAlignment="1">
      <alignment vertical="center" shrinkToFit="1"/>
    </xf>
    <xf numFmtId="0" fontId="29" fillId="0" borderId="147" xfId="0" applyFont="1" applyBorder="1" applyAlignment="1">
      <alignment horizontal="center" vertical="top" wrapText="1"/>
    </xf>
    <xf numFmtId="0" fontId="29" fillId="0" borderId="13" xfId="0" applyFont="1" applyBorder="1" applyAlignment="1">
      <alignment horizontal="center" vertical="top" wrapText="1"/>
    </xf>
    <xf numFmtId="0" fontId="29" fillId="0" borderId="148" xfId="0" applyFont="1" applyBorder="1" applyAlignment="1">
      <alignment horizontal="center" vertical="top" wrapText="1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3" fillId="0" borderId="102" xfId="0" applyFont="1" applyBorder="1" applyAlignment="1" applyProtection="1">
      <alignment horizontal="center" vertical="center" shrinkToFit="1"/>
      <protection locked="0"/>
    </xf>
    <xf numFmtId="0" fontId="33" fillId="0" borderId="3" xfId="0" applyFont="1" applyBorder="1" applyAlignment="1" applyProtection="1">
      <alignment horizontal="center" vertical="center" shrinkToFit="1"/>
      <protection locked="0"/>
    </xf>
    <xf numFmtId="0" fontId="20" fillId="0" borderId="3" xfId="0" applyFont="1" applyBorder="1" applyAlignment="1" applyProtection="1">
      <alignment horizontal="center" vertical="center" shrinkToFit="1"/>
      <protection locked="0"/>
    </xf>
    <xf numFmtId="0" fontId="20" fillId="0" borderId="4" xfId="0" applyFont="1" applyBorder="1" applyAlignment="1" applyProtection="1">
      <alignment horizontal="center" vertical="center" shrinkToFit="1"/>
      <protection locked="0"/>
    </xf>
    <xf numFmtId="0" fontId="33" fillId="0" borderId="10" xfId="0" applyFont="1" applyBorder="1" applyAlignment="1" applyProtection="1">
      <alignment horizontal="center" vertical="center" shrinkToFit="1"/>
      <protection locked="0"/>
    </xf>
    <xf numFmtId="0" fontId="33" fillId="0" borderId="142" xfId="0" applyFont="1" applyBorder="1" applyAlignment="1" applyProtection="1">
      <alignment horizontal="center" vertical="center" shrinkToFit="1"/>
      <protection locked="0"/>
    </xf>
    <xf numFmtId="0" fontId="20" fillId="0" borderId="142" xfId="0" applyFont="1" applyBorder="1" applyAlignment="1" applyProtection="1">
      <alignment horizontal="center" vertical="center" shrinkToFit="1"/>
      <protection locked="0"/>
    </xf>
    <xf numFmtId="0" fontId="20" fillId="0" borderId="103" xfId="0" applyFont="1" applyBorder="1" applyAlignment="1" applyProtection="1">
      <alignment horizontal="center" vertical="center" shrinkToFit="1"/>
      <protection locked="0"/>
    </xf>
    <xf numFmtId="0" fontId="33" fillId="0" borderId="30" xfId="0" applyFont="1" applyBorder="1" applyAlignment="1" applyProtection="1">
      <alignment horizontal="center" vertical="center" shrinkToFit="1"/>
      <protection locked="0"/>
    </xf>
    <xf numFmtId="0" fontId="33" fillId="0" borderId="12" xfId="0" applyFont="1" applyBorder="1" applyAlignment="1" applyProtection="1">
      <alignment horizontal="center" vertical="center" shrinkToFit="1"/>
      <protection locked="0"/>
    </xf>
    <xf numFmtId="0" fontId="20" fillId="0" borderId="12" xfId="0" applyFont="1" applyBorder="1" applyAlignment="1" applyProtection="1">
      <alignment horizontal="center" vertical="center" shrinkToFit="1"/>
      <protection locked="0"/>
    </xf>
    <xf numFmtId="0" fontId="20" fillId="0" borderId="32" xfId="0" applyFont="1" applyBorder="1" applyAlignment="1" applyProtection="1">
      <alignment horizontal="center" vertical="center" shrinkToFit="1"/>
      <protection locked="0"/>
    </xf>
    <xf numFmtId="0" fontId="33" fillId="0" borderId="105" xfId="0" applyFont="1" applyBorder="1" applyAlignment="1" applyProtection="1">
      <alignment horizontal="left" vertical="center" shrinkToFit="1"/>
      <protection locked="0"/>
    </xf>
    <xf numFmtId="0" fontId="33" fillId="0" borderId="17" xfId="0" applyFont="1" applyBorder="1" applyAlignment="1" applyProtection="1">
      <alignment horizontal="left" vertical="center" shrinkToFit="1"/>
      <protection locked="0"/>
    </xf>
    <xf numFmtId="0" fontId="20" fillId="0" borderId="17" xfId="0" applyFont="1" applyBorder="1" applyAlignment="1" applyProtection="1">
      <alignment horizontal="center" vertical="center" shrinkToFit="1"/>
      <protection locked="0"/>
    </xf>
    <xf numFmtId="0" fontId="20" fillId="0" borderId="172" xfId="0" applyFont="1" applyBorder="1" applyAlignment="1" applyProtection="1">
      <alignment horizontal="center" vertical="center" shrinkToFit="1"/>
      <protection locked="0"/>
    </xf>
    <xf numFmtId="0" fontId="33" fillId="0" borderId="102" xfId="0" applyFont="1" applyBorder="1" applyAlignment="1" applyProtection="1">
      <alignment horizontal="left" vertical="center" shrinkToFit="1"/>
      <protection locked="0"/>
    </xf>
    <xf numFmtId="0" fontId="33" fillId="0" borderId="3" xfId="0" applyFont="1" applyBorder="1" applyAlignment="1" applyProtection="1">
      <alignment horizontal="left" vertical="center" shrinkToFit="1"/>
      <protection locked="0"/>
    </xf>
    <xf numFmtId="49" fontId="19" fillId="0" borderId="147" xfId="0" applyNumberFormat="1" applyFont="1" applyBorder="1" applyAlignment="1" applyProtection="1">
      <alignment horizontal="left" vertical="center" shrinkToFit="1"/>
      <protection locked="0"/>
    </xf>
    <xf numFmtId="49" fontId="19" fillId="0" borderId="13" xfId="0" applyNumberFormat="1" applyFont="1" applyBorder="1" applyAlignment="1" applyProtection="1">
      <alignment horizontal="left" vertical="center" shrinkToFit="1"/>
      <protection locked="0"/>
    </xf>
    <xf numFmtId="0" fontId="33" fillId="0" borderId="13" xfId="0" applyFont="1" applyBorder="1" applyAlignment="1" applyProtection="1">
      <alignment horizontal="left" vertical="center" shrinkToFit="1"/>
      <protection locked="0"/>
    </xf>
    <xf numFmtId="0" fontId="33" fillId="0" borderId="148" xfId="0" applyFont="1" applyBorder="1" applyAlignment="1" applyProtection="1">
      <alignment horizontal="left" vertical="center" shrinkToFit="1"/>
      <protection locked="0"/>
    </xf>
    <xf numFmtId="49" fontId="19" fillId="0" borderId="105" xfId="0" applyNumberFormat="1" applyFont="1" applyBorder="1" applyAlignment="1" applyProtection="1">
      <alignment horizontal="center" vertical="center" shrinkToFit="1"/>
      <protection locked="0"/>
    </xf>
    <xf numFmtId="49" fontId="19" fillId="0" borderId="17" xfId="0" applyNumberFormat="1" applyFont="1" applyBorder="1" applyAlignment="1" applyProtection="1">
      <alignment horizontal="center" vertical="center" shrinkToFit="1"/>
      <protection locked="0"/>
    </xf>
    <xf numFmtId="0" fontId="34" fillId="0" borderId="17" xfId="0" applyFont="1" applyBorder="1" applyAlignment="1" applyProtection="1">
      <alignment horizontal="center" vertical="center" shrinkToFit="1"/>
      <protection locked="0"/>
    </xf>
    <xf numFmtId="49" fontId="22" fillId="0" borderId="17" xfId="0" applyNumberFormat="1" applyFont="1" applyBorder="1" applyAlignment="1" applyProtection="1">
      <alignment horizontal="center" vertical="center" shrinkToFit="1"/>
      <protection locked="0"/>
    </xf>
    <xf numFmtId="49" fontId="22" fillId="0" borderId="172" xfId="0" applyNumberFormat="1" applyFont="1" applyBorder="1" applyAlignment="1" applyProtection="1">
      <alignment horizontal="center" vertical="center" shrinkToFit="1"/>
      <protection locked="0"/>
    </xf>
    <xf numFmtId="0" fontId="33" fillId="0" borderId="10" xfId="0" applyFont="1" applyBorder="1" applyAlignment="1" applyProtection="1">
      <alignment horizontal="left" vertical="center" shrinkToFit="1"/>
      <protection locked="0"/>
    </xf>
    <xf numFmtId="0" fontId="33" fillId="0" borderId="142" xfId="0" applyFont="1" applyBorder="1" applyAlignment="1" applyProtection="1">
      <alignment horizontal="left" vertical="center" shrinkToFit="1"/>
      <protection locked="0"/>
    </xf>
    <xf numFmtId="49" fontId="3" fillId="2" borderId="102" xfId="0" applyNumberFormat="1" applyFont="1" applyFill="1" applyBorder="1" applyAlignment="1">
      <alignment vertical="center" shrinkToFit="1"/>
    </xf>
    <xf numFmtId="0" fontId="0" fillId="0" borderId="3" xfId="0" applyBorder="1" applyAlignment="1">
      <alignment vertical="center" shrinkToFit="1"/>
    </xf>
    <xf numFmtId="0" fontId="0" fillId="0" borderId="4" xfId="0" applyBorder="1" applyAlignment="1">
      <alignment vertical="center" shrinkToFit="1"/>
    </xf>
    <xf numFmtId="49" fontId="3" fillId="2" borderId="102" xfId="0" applyNumberFormat="1" applyFont="1" applyFill="1" applyBorder="1" applyAlignment="1">
      <alignment horizontal="center" vertical="center" shrinkToFit="1"/>
    </xf>
    <xf numFmtId="49" fontId="3" fillId="2" borderId="3" xfId="0" applyNumberFormat="1" applyFont="1" applyFill="1" applyBorder="1" applyAlignment="1">
      <alignment horizontal="center" vertical="center" shrinkToFit="1"/>
    </xf>
    <xf numFmtId="49" fontId="3" fillId="2" borderId="4" xfId="0" applyNumberFormat="1" applyFont="1" applyFill="1" applyBorder="1" applyAlignment="1">
      <alignment horizontal="center" vertical="center" shrinkToFit="1"/>
    </xf>
    <xf numFmtId="0" fontId="19" fillId="0" borderId="102" xfId="0" applyFont="1" applyBorder="1" applyAlignment="1">
      <alignment horizontal="left" vertical="center" shrinkToFit="1"/>
    </xf>
    <xf numFmtId="0" fontId="19" fillId="0" borderId="3" xfId="0" applyFont="1" applyBorder="1" applyAlignment="1">
      <alignment horizontal="left" vertical="center" shrinkToFit="1"/>
    </xf>
    <xf numFmtId="0" fontId="19" fillId="0" borderId="4" xfId="0" applyFont="1" applyBorder="1" applyAlignment="1">
      <alignment horizontal="left" vertical="center" shrinkToFit="1"/>
    </xf>
    <xf numFmtId="49" fontId="3" fillId="3" borderId="123" xfId="0" applyNumberFormat="1" applyFont="1" applyFill="1" applyBorder="1" applyAlignment="1">
      <alignment vertical="center" shrinkToFit="1"/>
    </xf>
    <xf numFmtId="0" fontId="5" fillId="0" borderId="0" xfId="0" applyFont="1" applyAlignment="1">
      <alignment vertical="center" shrinkToFit="1"/>
    </xf>
    <xf numFmtId="0" fontId="5" fillId="0" borderId="5" xfId="0" applyFont="1" applyBorder="1" applyAlignment="1">
      <alignment vertical="center" shrinkToFit="1"/>
    </xf>
    <xf numFmtId="49" fontId="53" fillId="3" borderId="123" xfId="0" applyNumberFormat="1" applyFont="1" applyFill="1" applyBorder="1" applyAlignment="1">
      <alignment vertical="center" shrinkToFit="1"/>
    </xf>
    <xf numFmtId="49" fontId="53" fillId="3" borderId="30" xfId="0" applyNumberFormat="1" applyFont="1" applyFill="1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0" borderId="32" xfId="0" applyBorder="1" applyAlignment="1">
      <alignment vertical="center" shrinkToFit="1"/>
    </xf>
    <xf numFmtId="0" fontId="19" fillId="0" borderId="121" xfId="0" applyFont="1" applyBorder="1" applyAlignment="1">
      <alignment horizontal="left" vertical="center" shrinkToFit="1"/>
    </xf>
    <xf numFmtId="0" fontId="19" fillId="0" borderId="19" xfId="0" applyFont="1" applyBorder="1" applyAlignment="1">
      <alignment horizontal="left" vertical="center" shrinkToFit="1"/>
    </xf>
    <xf numFmtId="0" fontId="19" fillId="0" borderId="122" xfId="0" applyFont="1" applyBorder="1" applyAlignment="1">
      <alignment horizontal="left" vertical="center" shrinkToFit="1"/>
    </xf>
    <xf numFmtId="0" fontId="19" fillId="0" borderId="123" xfId="0" applyFont="1" applyBorder="1" applyAlignment="1">
      <alignment horizontal="left" vertical="center" shrinkToFit="1"/>
    </xf>
    <xf numFmtId="0" fontId="19" fillId="0" borderId="0" xfId="0" applyFont="1" applyAlignment="1">
      <alignment horizontal="left" vertical="center" shrinkToFit="1"/>
    </xf>
    <xf numFmtId="0" fontId="19" fillId="0" borderId="5" xfId="0" applyFont="1" applyBorder="1" applyAlignment="1">
      <alignment horizontal="left" vertical="center" shrinkToFit="1"/>
    </xf>
    <xf numFmtId="0" fontId="19" fillId="0" borderId="30" xfId="0" applyFont="1" applyBorder="1" applyAlignment="1">
      <alignment horizontal="left" vertical="center" shrinkToFit="1"/>
    </xf>
    <xf numFmtId="0" fontId="19" fillId="0" borderId="12" xfId="0" applyFont="1" applyBorder="1" applyAlignment="1">
      <alignment horizontal="left" vertical="center" shrinkToFit="1"/>
    </xf>
    <xf numFmtId="0" fontId="19" fillId="0" borderId="32" xfId="0" applyFont="1" applyBorder="1" applyAlignment="1">
      <alignment horizontal="left" vertical="center" shrinkToFit="1"/>
    </xf>
    <xf numFmtId="49" fontId="53" fillId="3" borderId="0" xfId="0" applyNumberFormat="1" applyFont="1" applyFill="1" applyAlignment="1">
      <alignment vertical="center" shrinkToFit="1"/>
    </xf>
    <xf numFmtId="49" fontId="53" fillId="3" borderId="5" xfId="0" applyNumberFormat="1" applyFont="1" applyFill="1" applyBorder="1" applyAlignment="1">
      <alignment vertical="center" shrinkToFit="1"/>
    </xf>
    <xf numFmtId="49" fontId="53" fillId="3" borderId="121" xfId="0" applyNumberFormat="1" applyFont="1" applyFill="1" applyBorder="1" applyAlignment="1">
      <alignment vertical="center" shrinkToFit="1"/>
    </xf>
    <xf numFmtId="49" fontId="53" fillId="3" borderId="19" xfId="0" applyNumberFormat="1" applyFont="1" applyFill="1" applyBorder="1" applyAlignment="1">
      <alignment vertical="center" shrinkToFit="1"/>
    </xf>
    <xf numFmtId="49" fontId="53" fillId="3" borderId="122" xfId="0" applyNumberFormat="1" applyFont="1" applyFill="1" applyBorder="1" applyAlignment="1">
      <alignment vertical="center" shrinkToFit="1"/>
    </xf>
    <xf numFmtId="49" fontId="53" fillId="0" borderId="30" xfId="0" applyNumberFormat="1" applyFont="1" applyBorder="1" applyAlignment="1">
      <alignment vertical="center" shrinkToFit="1"/>
    </xf>
    <xf numFmtId="49" fontId="53" fillId="0" borderId="12" xfId="0" applyNumberFormat="1" applyFont="1" applyBorder="1" applyAlignment="1">
      <alignment vertical="center" shrinkToFit="1"/>
    </xf>
    <xf numFmtId="49" fontId="53" fillId="0" borderId="32" xfId="0" applyNumberFormat="1" applyFont="1" applyBorder="1" applyAlignment="1">
      <alignment vertical="center" shrinkToFit="1"/>
    </xf>
    <xf numFmtId="49" fontId="54" fillId="3" borderId="121" xfId="0" applyNumberFormat="1" applyFont="1" applyFill="1" applyBorder="1" applyAlignment="1">
      <alignment vertical="center" shrinkToFit="1"/>
    </xf>
    <xf numFmtId="49" fontId="54" fillId="3" borderId="19" xfId="0" applyNumberFormat="1" applyFont="1" applyFill="1" applyBorder="1" applyAlignment="1">
      <alignment vertical="center" shrinkToFit="1"/>
    </xf>
    <xf numFmtId="49" fontId="54" fillId="3" borderId="122" xfId="0" applyNumberFormat="1" applyFont="1" applyFill="1" applyBorder="1" applyAlignment="1">
      <alignment vertical="center" shrinkToFit="1"/>
    </xf>
    <xf numFmtId="49" fontId="54" fillId="3" borderId="123" xfId="0" applyNumberFormat="1" applyFont="1" applyFill="1" applyBorder="1" applyAlignment="1">
      <alignment vertical="center" shrinkToFit="1"/>
    </xf>
    <xf numFmtId="49" fontId="54" fillId="3" borderId="0" xfId="0" applyNumberFormat="1" applyFont="1" applyFill="1" applyAlignment="1">
      <alignment vertical="center" shrinkToFit="1"/>
    </xf>
    <xf numFmtId="49" fontId="54" fillId="3" borderId="5" xfId="0" applyNumberFormat="1" applyFont="1" applyFill="1" applyBorder="1" applyAlignment="1">
      <alignment vertical="center" shrinkToFit="1"/>
    </xf>
    <xf numFmtId="49" fontId="54" fillId="3" borderId="30" xfId="0" applyNumberFormat="1" applyFont="1" applyFill="1" applyBorder="1" applyAlignment="1">
      <alignment vertical="center" shrinkToFit="1"/>
    </xf>
    <xf numFmtId="49" fontId="54" fillId="3" borderId="12" xfId="0" applyNumberFormat="1" applyFont="1" applyFill="1" applyBorder="1" applyAlignment="1">
      <alignment vertical="center" shrinkToFit="1"/>
    </xf>
    <xf numFmtId="49" fontId="54" fillId="3" borderId="32" xfId="0" applyNumberFormat="1" applyFont="1" applyFill="1" applyBorder="1" applyAlignment="1">
      <alignment vertical="center" shrinkToFit="1"/>
    </xf>
    <xf numFmtId="0" fontId="14" fillId="2" borderId="121" xfId="0" applyFont="1" applyFill="1" applyBorder="1" applyAlignment="1">
      <alignment horizontal="center" vertical="center" shrinkToFit="1"/>
    </xf>
    <xf numFmtId="0" fontId="14" fillId="2" borderId="122" xfId="0" applyFont="1" applyFill="1" applyBorder="1" applyAlignment="1">
      <alignment horizontal="center" vertical="center" shrinkToFit="1"/>
    </xf>
    <xf numFmtId="0" fontId="14" fillId="2" borderId="30" xfId="0" applyFont="1" applyFill="1" applyBorder="1" applyAlignment="1">
      <alignment horizontal="center" vertical="center" shrinkToFit="1"/>
    </xf>
    <xf numFmtId="0" fontId="14" fillId="2" borderId="32" xfId="0" applyFont="1" applyFill="1" applyBorder="1" applyAlignment="1">
      <alignment horizontal="center" vertical="center" shrinkToFit="1"/>
    </xf>
    <xf numFmtId="182" fontId="34" fillId="3" borderId="121" xfId="0" applyNumberFormat="1" applyFont="1" applyFill="1" applyBorder="1" applyAlignment="1">
      <alignment horizontal="center" vertical="center"/>
    </xf>
    <xf numFmtId="182" fontId="34" fillId="3" borderId="122" xfId="0" applyNumberFormat="1" applyFont="1" applyFill="1" applyBorder="1" applyAlignment="1">
      <alignment horizontal="center" vertical="center"/>
    </xf>
    <xf numFmtId="182" fontId="34" fillId="3" borderId="30" xfId="0" applyNumberFormat="1" applyFont="1" applyFill="1" applyBorder="1" applyAlignment="1">
      <alignment horizontal="center" vertical="center"/>
    </xf>
    <xf numFmtId="182" fontId="34" fillId="3" borderId="32" xfId="0" applyNumberFormat="1" applyFont="1" applyFill="1" applyBorder="1" applyAlignment="1">
      <alignment horizontal="center" vertical="center"/>
    </xf>
  </cellXfs>
  <cellStyles count="22">
    <cellStyle name="ハイパーリンク" xfId="1" builtinId="8"/>
    <cellStyle name="桁区切り" xfId="2" builtinId="6"/>
    <cellStyle name="桁区切り 2" xfId="3" xr:uid="{00000000-0005-0000-0000-000002000000}"/>
    <cellStyle name="標準" xfId="0" builtinId="0"/>
    <cellStyle name="標準 10" xfId="4" xr:uid="{00000000-0005-0000-0000-000004000000}"/>
    <cellStyle name="標準 11" xfId="5" xr:uid="{00000000-0005-0000-0000-000005000000}"/>
    <cellStyle name="標準 12" xfId="6" xr:uid="{00000000-0005-0000-0000-000006000000}"/>
    <cellStyle name="標準 13" xfId="7" xr:uid="{00000000-0005-0000-0000-000007000000}"/>
    <cellStyle name="標準 14" xfId="8" xr:uid="{00000000-0005-0000-0000-000008000000}"/>
    <cellStyle name="標準 15" xfId="9" xr:uid="{00000000-0005-0000-0000-000009000000}"/>
    <cellStyle name="標準 16" xfId="10" xr:uid="{00000000-0005-0000-0000-00000A000000}"/>
    <cellStyle name="標準 17" xfId="11" xr:uid="{00000000-0005-0000-0000-00000B000000}"/>
    <cellStyle name="標準 18" xfId="12" xr:uid="{00000000-0005-0000-0000-00000C000000}"/>
    <cellStyle name="標準 19" xfId="13" xr:uid="{00000000-0005-0000-0000-00000D000000}"/>
    <cellStyle name="標準 2" xfId="14" xr:uid="{00000000-0005-0000-0000-00000E000000}"/>
    <cellStyle name="標準 3" xfId="15" xr:uid="{00000000-0005-0000-0000-00000F000000}"/>
    <cellStyle name="標準 4" xfId="16" xr:uid="{00000000-0005-0000-0000-000010000000}"/>
    <cellStyle name="標準 5" xfId="17" xr:uid="{00000000-0005-0000-0000-000011000000}"/>
    <cellStyle name="標準 6" xfId="18" xr:uid="{00000000-0005-0000-0000-000012000000}"/>
    <cellStyle name="標準 7" xfId="19" xr:uid="{00000000-0005-0000-0000-000013000000}"/>
    <cellStyle name="標準 8" xfId="20" xr:uid="{00000000-0005-0000-0000-000014000000}"/>
    <cellStyle name="標準 9" xfId="21" xr:uid="{00000000-0005-0000-0000-000015000000}"/>
  </cellStyles>
  <dxfs count="0"/>
  <tableStyles count="0" defaultTableStyle="TableStyleMedium9" defaultPivotStyle="PivotStyleLight16"/>
  <colors>
    <mruColors>
      <color rgb="FFFFFF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7620</xdr:colOff>
          <xdr:row>45</xdr:row>
          <xdr:rowOff>76200</xdr:rowOff>
        </xdr:from>
        <xdr:to>
          <xdr:col>42</xdr:col>
          <xdr:colOff>15240</xdr:colOff>
          <xdr:row>47</xdr:row>
          <xdr:rowOff>60960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4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55</xdr:col>
      <xdr:colOff>393700</xdr:colOff>
      <xdr:row>86</xdr:row>
      <xdr:rowOff>114300</xdr:rowOff>
    </xdr:from>
    <xdr:to>
      <xdr:col>61</xdr:col>
      <xdr:colOff>114300</xdr:colOff>
      <xdr:row>97</xdr:row>
      <xdr:rowOff>116328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 rot="10800000">
          <a:off x="7581900" y="13296900"/>
          <a:ext cx="3422650" cy="1475232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106680</xdr:colOff>
          <xdr:row>0</xdr:row>
          <xdr:rowOff>0</xdr:rowOff>
        </xdr:from>
        <xdr:to>
          <xdr:col>54</xdr:col>
          <xdr:colOff>297180</xdr:colOff>
          <xdr:row>0</xdr:row>
          <xdr:rowOff>228600</xdr:rowOff>
        </xdr:to>
        <xdr:sp macro="" textlink="">
          <xdr:nvSpPr>
            <xdr:cNvPr id="4097" name="Label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69</xdr:row>
          <xdr:rowOff>60960</xdr:rowOff>
        </xdr:from>
        <xdr:to>
          <xdr:col>33</xdr:col>
          <xdr:colOff>68580</xdr:colOff>
          <xdr:row>71</xdr:row>
          <xdr:rowOff>38100</xdr:rowOff>
        </xdr:to>
        <xdr:sp macro="" textlink="">
          <xdr:nvSpPr>
            <xdr:cNvPr id="4098" name="Label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513715</xdr:colOff>
      <xdr:row>1</xdr:row>
      <xdr:rowOff>466725</xdr:rowOff>
    </xdr:from>
    <xdr:to>
      <xdr:col>3</xdr:col>
      <xdr:colOff>1689096</xdr:colOff>
      <xdr:row>1</xdr:row>
      <xdr:rowOff>647700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00000000-0008-0000-0600-000001140000}"/>
            </a:ext>
          </a:extLst>
        </xdr:cNvPr>
        <xdr:cNvSpPr>
          <a:spLocks/>
        </xdr:cNvSpPr>
      </xdr:nvSpPr>
      <xdr:spPr bwMode="auto">
        <a:xfrm>
          <a:off x="1743075" y="619125"/>
          <a:ext cx="2038350" cy="180975"/>
        </a:xfrm>
        <a:prstGeom prst="borderCallout1">
          <a:avLst>
            <a:gd name="adj1" fmla="val 63157"/>
            <a:gd name="adj2" fmla="val -3736"/>
            <a:gd name="adj3" fmla="val 542106"/>
            <a:gd name="adj4" fmla="val -2850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 type="stealth" w="med" len="med"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スケーターはここから記入してください</a:t>
          </a:r>
        </a:p>
      </xdr:txBody>
    </xdr:sp>
    <xdr:clientData fPrintsWithSheet="0"/>
  </xdr:twoCellAnchor>
  <xdr:twoCellAnchor editAs="oneCell">
    <xdr:from>
      <xdr:col>7</xdr:col>
      <xdr:colOff>11430</xdr:colOff>
      <xdr:row>1</xdr:row>
      <xdr:rowOff>28575</xdr:rowOff>
    </xdr:from>
    <xdr:to>
      <xdr:col>9</xdr:col>
      <xdr:colOff>620338</xdr:colOff>
      <xdr:row>1</xdr:row>
      <xdr:rowOff>228600</xdr:rowOff>
    </xdr:to>
    <xdr:sp macro="" textlink="">
      <xdr:nvSpPr>
        <xdr:cNvPr id="5122" name="AutoShape 2">
          <a:extLst>
            <a:ext uri="{FF2B5EF4-FFF2-40B4-BE49-F238E27FC236}">
              <a16:creationId xmlns:a16="http://schemas.microsoft.com/office/drawing/2014/main" id="{00000000-0008-0000-0600-000002140000}"/>
            </a:ext>
          </a:extLst>
        </xdr:cNvPr>
        <xdr:cNvSpPr>
          <a:spLocks/>
        </xdr:cNvSpPr>
      </xdr:nvSpPr>
      <xdr:spPr bwMode="auto">
        <a:xfrm>
          <a:off x="5476875" y="180975"/>
          <a:ext cx="2381250" cy="200025"/>
        </a:xfrm>
        <a:prstGeom prst="borderCallout1">
          <a:avLst>
            <a:gd name="adj1" fmla="val 57144"/>
            <a:gd name="adj2" fmla="val -3199"/>
            <a:gd name="adj3" fmla="val 442856"/>
            <a:gd name="adj4" fmla="val -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監督・</a:t>
          </a:r>
          <a:r>
            <a:rPr lang="en-US" altLang="ja-JP" sz="9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GK</a:t>
          </a:r>
          <a:r>
            <a:rPr lang="ja-JP" altLang="en-US" sz="9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9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C/A</a:t>
          </a:r>
          <a:r>
            <a:rPr lang="ja-JP" altLang="en-US" sz="9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をつけることができません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</xdr:row>
          <xdr:rowOff>297180</xdr:rowOff>
        </xdr:from>
        <xdr:to>
          <xdr:col>9</xdr:col>
          <xdr:colOff>822960</xdr:colOff>
          <xdr:row>1</xdr:row>
          <xdr:rowOff>601980</xdr:rowOff>
        </xdr:to>
        <xdr:sp macro="" textlink="">
          <xdr:nvSpPr>
            <xdr:cNvPr id="5124" name="CommandButton1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473710</xdr:colOff>
      <xdr:row>1</xdr:row>
      <xdr:rowOff>495300</xdr:rowOff>
    </xdr:from>
    <xdr:to>
      <xdr:col>3</xdr:col>
      <xdr:colOff>1658594</xdr:colOff>
      <xdr:row>1</xdr:row>
      <xdr:rowOff>666750</xdr:rowOff>
    </xdr:to>
    <xdr:sp macro="" textlink="">
      <xdr:nvSpPr>
        <xdr:cNvPr id="1035" name="AutoShape 11">
          <a:extLst>
            <a:ext uri="{FF2B5EF4-FFF2-40B4-BE49-F238E27FC236}">
              <a16:creationId xmlns:a16="http://schemas.microsoft.com/office/drawing/2014/main" id="{00000000-0008-0000-0700-00000B040000}"/>
            </a:ext>
          </a:extLst>
        </xdr:cNvPr>
        <xdr:cNvSpPr>
          <a:spLocks/>
        </xdr:cNvSpPr>
      </xdr:nvSpPr>
      <xdr:spPr bwMode="auto">
        <a:xfrm>
          <a:off x="1695450" y="647700"/>
          <a:ext cx="2047875" cy="171450"/>
        </a:xfrm>
        <a:prstGeom prst="borderCallout1">
          <a:avLst>
            <a:gd name="adj1" fmla="val 66667"/>
            <a:gd name="adj2" fmla="val -3722"/>
            <a:gd name="adj3" fmla="val 544444"/>
            <a:gd name="adj4" fmla="val -2604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 type="stealth" w="med" len="med"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スケーターはここから記入してください</a:t>
          </a:r>
        </a:p>
      </xdr:txBody>
    </xdr:sp>
    <xdr:clientData/>
  </xdr:twoCellAnchor>
  <xdr:twoCellAnchor editAs="oneCell">
    <xdr:from>
      <xdr:col>7</xdr:col>
      <xdr:colOff>9525</xdr:colOff>
      <xdr:row>1</xdr:row>
      <xdr:rowOff>47625</xdr:rowOff>
    </xdr:from>
    <xdr:to>
      <xdr:col>9</xdr:col>
      <xdr:colOff>597069</xdr:colOff>
      <xdr:row>1</xdr:row>
      <xdr:rowOff>228600</xdr:rowOff>
    </xdr:to>
    <xdr:sp macro="" textlink="">
      <xdr:nvSpPr>
        <xdr:cNvPr id="1036" name="AutoShape 12">
          <a:extLst>
            <a:ext uri="{FF2B5EF4-FFF2-40B4-BE49-F238E27FC236}">
              <a16:creationId xmlns:a16="http://schemas.microsoft.com/office/drawing/2014/main" id="{00000000-0008-0000-0700-00000C040000}"/>
            </a:ext>
          </a:extLst>
        </xdr:cNvPr>
        <xdr:cNvSpPr>
          <a:spLocks/>
        </xdr:cNvSpPr>
      </xdr:nvSpPr>
      <xdr:spPr bwMode="auto">
        <a:xfrm>
          <a:off x="5467350" y="200025"/>
          <a:ext cx="2381250" cy="180975"/>
        </a:xfrm>
        <a:prstGeom prst="borderCallout1">
          <a:avLst>
            <a:gd name="adj1" fmla="val 63157"/>
            <a:gd name="adj2" fmla="val -3199"/>
            <a:gd name="adj3" fmla="val 515792"/>
            <a:gd name="adj4" fmla="val -49199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監督・</a:t>
          </a:r>
          <a:r>
            <a:rPr lang="en-US" altLang="ja-JP" sz="9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GK</a:t>
          </a:r>
          <a:r>
            <a:rPr lang="ja-JP" altLang="en-US" sz="9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9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C/A</a:t>
          </a:r>
          <a:r>
            <a:rPr lang="ja-JP" altLang="en-US" sz="9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をつけることができません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</xdr:row>
          <xdr:rowOff>297180</xdr:rowOff>
        </xdr:from>
        <xdr:to>
          <xdr:col>9</xdr:col>
          <xdr:colOff>822960</xdr:colOff>
          <xdr:row>1</xdr:row>
          <xdr:rowOff>601980</xdr:rowOff>
        </xdr:to>
        <xdr:sp macro="" textlink="">
          <xdr:nvSpPr>
            <xdr:cNvPr id="1037" name="CommandButton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7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23</xdr:row>
      <xdr:rowOff>154516</xdr:rowOff>
    </xdr:from>
    <xdr:to>
      <xdr:col>0</xdr:col>
      <xdr:colOff>762000</xdr:colOff>
      <xdr:row>30</xdr:row>
      <xdr:rowOff>84667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3A017443-35B0-724D-1B51-8F0E888EEFB1}"/>
            </a:ext>
          </a:extLst>
        </xdr:cNvPr>
        <xdr:cNvSpPr/>
      </xdr:nvSpPr>
      <xdr:spPr bwMode="auto">
        <a:xfrm>
          <a:off x="25400" y="4633383"/>
          <a:ext cx="736600" cy="1293284"/>
        </a:xfrm>
        <a:prstGeom prst="wedgeRectCallout">
          <a:avLst>
            <a:gd name="adj1" fmla="val -26580"/>
            <a:gd name="adj2" fmla="val -14039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vert="wordArtVertRtl" wrap="square" lIns="18288" tIns="0" rIns="0" bIns="0" rtlCol="0" anchor="ctr" upright="1"/>
        <a:lstStyle/>
        <a:p>
          <a:pPr algn="l"/>
          <a:r>
            <a:rPr kumimoji="1" lang="ja-JP" altLang="en-US" sz="1100" b="1">
              <a:solidFill>
                <a:srgbClr val="FF0000"/>
              </a:solidFill>
            </a:rPr>
            <a:t>①その日に実施する試合数だけ試合日を作る。</a:t>
          </a:r>
          <a:endParaRPr kumimoji="1" lang="en-US" altLang="ja-JP" sz="1200" b="1">
            <a:solidFill>
              <a:srgbClr val="FF0000"/>
            </a:solidFill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0</xdr:colOff>
      <xdr:row>143</xdr:row>
      <xdr:rowOff>0</xdr:rowOff>
    </xdr:from>
    <xdr:to>
      <xdr:col>1</xdr:col>
      <xdr:colOff>262467</xdr:colOff>
      <xdr:row>148</xdr:row>
      <xdr:rowOff>12700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D56B18A7-1420-4155-9543-B7EABD21412A}"/>
            </a:ext>
          </a:extLst>
        </xdr:cNvPr>
        <xdr:cNvSpPr/>
      </xdr:nvSpPr>
      <xdr:spPr bwMode="auto">
        <a:xfrm>
          <a:off x="812800" y="4000500"/>
          <a:ext cx="262467" cy="965200"/>
        </a:xfrm>
        <a:prstGeom prst="wedgeRectCallout">
          <a:avLst>
            <a:gd name="adj1" fmla="val -26580"/>
            <a:gd name="adj2" fmla="val -14039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vert="wordArtVertRtl" wrap="square" lIns="18288" tIns="0" rIns="0" bIns="0" rtlCol="0" anchor="ctr" upright="1"/>
        <a:lstStyle/>
        <a:p>
          <a:pPr algn="l"/>
          <a:r>
            <a:rPr kumimoji="1" lang="ja-JP" altLang="en-US" sz="1100" b="1">
              <a:solidFill>
                <a:srgbClr val="FF0000"/>
              </a:solidFill>
            </a:rPr>
            <a:t>②試合番号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endParaRPr kumimoji="1" lang="en-US" altLang="ja-JP" sz="1200" b="1">
            <a:solidFill>
              <a:srgbClr val="FF0000"/>
            </a:solidFill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62</xdr:row>
      <xdr:rowOff>16935</xdr:rowOff>
    </xdr:from>
    <xdr:to>
      <xdr:col>11</xdr:col>
      <xdr:colOff>736600</xdr:colOff>
      <xdr:row>67</xdr:row>
      <xdr:rowOff>16933</xdr:rowOff>
    </xdr:to>
    <xdr:sp macro="" textlink="">
      <xdr:nvSpPr>
        <xdr:cNvPr id="6" name="吹き出し: 四角形 5">
          <a:extLst>
            <a:ext uri="{FF2B5EF4-FFF2-40B4-BE49-F238E27FC236}">
              <a16:creationId xmlns:a16="http://schemas.microsoft.com/office/drawing/2014/main" id="{18F9DB2A-CC0A-4E9B-89FE-4BE60D40BBA2}"/>
            </a:ext>
          </a:extLst>
        </xdr:cNvPr>
        <xdr:cNvSpPr/>
      </xdr:nvSpPr>
      <xdr:spPr bwMode="auto">
        <a:xfrm>
          <a:off x="7543800" y="4301068"/>
          <a:ext cx="736600" cy="973665"/>
        </a:xfrm>
        <a:prstGeom prst="wedgeRectCallout">
          <a:avLst>
            <a:gd name="adj1" fmla="val -13936"/>
            <a:gd name="adj2" fmla="val -17823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vert="wordArtVertRtl" wrap="square" lIns="18288" tIns="0" rIns="0" bIns="0" rtlCol="0" anchor="ctr" upright="1"/>
        <a:lstStyle/>
        <a:p>
          <a:pPr algn="l"/>
          <a:r>
            <a:rPr kumimoji="1" lang="ja-JP" altLang="en-US" sz="1100" b="1">
              <a:solidFill>
                <a:srgbClr val="FF0000"/>
              </a:solidFill>
            </a:rPr>
            <a:t>③学校名、チーム名を記載</a:t>
          </a:r>
          <a:endParaRPr kumimoji="1" lang="ja-JP" altLang="en-US" sz="1100"/>
        </a:p>
      </xdr:txBody>
    </xdr:sp>
    <xdr:clientData/>
  </xdr:twoCellAnchor>
  <xdr:twoCellAnchor>
    <xdr:from>
      <xdr:col>11</xdr:col>
      <xdr:colOff>2328333</xdr:colOff>
      <xdr:row>87</xdr:row>
      <xdr:rowOff>101598</xdr:rowOff>
    </xdr:from>
    <xdr:to>
      <xdr:col>11</xdr:col>
      <xdr:colOff>3454403</xdr:colOff>
      <xdr:row>96</xdr:row>
      <xdr:rowOff>33866</xdr:rowOff>
    </xdr:to>
    <xdr:sp macro="" textlink="">
      <xdr:nvSpPr>
        <xdr:cNvPr id="8" name="吹き出し: 四角形 7">
          <a:extLst>
            <a:ext uri="{FF2B5EF4-FFF2-40B4-BE49-F238E27FC236}">
              <a16:creationId xmlns:a16="http://schemas.microsoft.com/office/drawing/2014/main" id="{2C1C6848-D20B-4156-9C42-9B585F4634B2}"/>
            </a:ext>
          </a:extLst>
        </xdr:cNvPr>
        <xdr:cNvSpPr/>
      </xdr:nvSpPr>
      <xdr:spPr bwMode="auto">
        <a:xfrm>
          <a:off x="9872133" y="9254065"/>
          <a:ext cx="1126070" cy="1684868"/>
        </a:xfrm>
        <a:prstGeom prst="wedgeRectCallout">
          <a:avLst>
            <a:gd name="adj1" fmla="val 131221"/>
            <a:gd name="adj2" fmla="val -3927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vert="wordArtVertRtl" wrap="square" lIns="18288" tIns="0" rIns="0" bIns="0" rtlCol="0" anchor="ctr" upright="1"/>
        <a:lstStyle/>
        <a:p>
          <a:pPr algn="l"/>
          <a:r>
            <a:rPr kumimoji="1" lang="ja-JP" altLang="en-US" sz="1100" b="1">
              <a:solidFill>
                <a:srgbClr val="FF0000"/>
              </a:solidFill>
            </a:rPr>
            <a:t>④学校名、チーム名の順に役員、選手を記載を記載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仕切りを役員・選手の終わりに入れておく。</a:t>
          </a:r>
        </a:p>
      </xdr:txBody>
    </xdr:sp>
    <xdr:clientData/>
  </xdr:twoCellAnchor>
  <xdr:twoCellAnchor>
    <xdr:from>
      <xdr:col>11</xdr:col>
      <xdr:colOff>3462866</xdr:colOff>
      <xdr:row>59</xdr:row>
      <xdr:rowOff>0</xdr:rowOff>
    </xdr:from>
    <xdr:to>
      <xdr:col>13</xdr:col>
      <xdr:colOff>321732</xdr:colOff>
      <xdr:row>65</xdr:row>
      <xdr:rowOff>169333</xdr:rowOff>
    </xdr:to>
    <xdr:sp macro="" textlink="">
      <xdr:nvSpPr>
        <xdr:cNvPr id="10" name="吹き出し: 四角形 9">
          <a:extLst>
            <a:ext uri="{FF2B5EF4-FFF2-40B4-BE49-F238E27FC236}">
              <a16:creationId xmlns:a16="http://schemas.microsoft.com/office/drawing/2014/main" id="{EDB4F34D-ABF5-4151-9628-B7520FC46E83}"/>
            </a:ext>
          </a:extLst>
        </xdr:cNvPr>
        <xdr:cNvSpPr/>
      </xdr:nvSpPr>
      <xdr:spPr bwMode="auto">
        <a:xfrm>
          <a:off x="11006666" y="4089400"/>
          <a:ext cx="982133" cy="1337733"/>
        </a:xfrm>
        <a:prstGeom prst="wedgeRectCallout">
          <a:avLst>
            <a:gd name="adj1" fmla="val 21409"/>
            <a:gd name="adj2" fmla="val -17887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vert="wordArtVertRtl" wrap="square" lIns="18288" tIns="0" rIns="0" bIns="0" rtlCol="0" anchor="ctr" upright="1"/>
        <a:lstStyle/>
        <a:p>
          <a:pPr algn="l"/>
          <a:r>
            <a:rPr kumimoji="1" lang="ja-JP" altLang="en-US" sz="1100" b="1">
              <a:solidFill>
                <a:srgbClr val="FF0000"/>
              </a:solidFill>
            </a:rPr>
            <a:t>⑤学校、チームの役員・選手の起点と終点。</a:t>
          </a:r>
          <a:r>
            <a:rPr kumimoji="1" lang="en-US" altLang="ja-JP" sz="1100" b="1">
              <a:solidFill>
                <a:srgbClr val="FF0000"/>
              </a:solidFill>
            </a:rPr>
            <a:t>O</a:t>
          </a:r>
          <a:r>
            <a:rPr kumimoji="1" lang="ja-JP" altLang="en-US" sz="1100" b="1">
              <a:solidFill>
                <a:srgbClr val="FF0000"/>
              </a:solidFill>
            </a:rPr>
            <a:t>列の頭と終わりを記載。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43</xdr:row>
      <xdr:rowOff>101600</xdr:rowOff>
    </xdr:from>
    <xdr:to>
      <xdr:col>19</xdr:col>
      <xdr:colOff>980016</xdr:colOff>
      <xdr:row>50</xdr:row>
      <xdr:rowOff>80433</xdr:rowOff>
    </xdr:to>
    <xdr:sp macro="" textlink="">
      <xdr:nvSpPr>
        <xdr:cNvPr id="13" name="吹き出し: 四角形 12">
          <a:extLst>
            <a:ext uri="{FF2B5EF4-FFF2-40B4-BE49-F238E27FC236}">
              <a16:creationId xmlns:a16="http://schemas.microsoft.com/office/drawing/2014/main" id="{A59F3DC2-DC17-4C36-99A9-2725E7897F9F}"/>
            </a:ext>
          </a:extLst>
        </xdr:cNvPr>
        <xdr:cNvSpPr/>
      </xdr:nvSpPr>
      <xdr:spPr bwMode="auto">
        <a:xfrm>
          <a:off x="14922500" y="8293100"/>
          <a:ext cx="980016" cy="1312333"/>
        </a:xfrm>
        <a:prstGeom prst="wedgeRectCallout">
          <a:avLst>
            <a:gd name="adj1" fmla="val 12986"/>
            <a:gd name="adj2" fmla="val -1154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vert="wordArtVertRtl" wrap="square" lIns="18288" tIns="0" rIns="0" bIns="0" rtlCol="0" anchor="ctr" upright="1"/>
        <a:lstStyle/>
        <a:p>
          <a:pPr algn="l"/>
          <a:r>
            <a:rPr kumimoji="1" lang="ja-JP" altLang="en-US" sz="1100" b="1">
              <a:solidFill>
                <a:srgbClr val="FF0000"/>
              </a:solidFill>
            </a:rPr>
            <a:t>⑥日ア連レフェリ、他県からの応援あった場合に追加可能。</a:t>
          </a:r>
          <a:endParaRPr kumimoji="1" lang="ja-JP" alt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4.emf"/><Relationship Id="rId4" Type="http://schemas.openxmlformats.org/officeDocument/2006/relationships/control" Target="../activeX/activeX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U60"/>
  <sheetViews>
    <sheetView workbookViewId="0">
      <selection activeCell="B10" sqref="B10"/>
    </sheetView>
  </sheetViews>
  <sheetFormatPr defaultRowHeight="13.2" x14ac:dyDescent="0.2"/>
  <cols>
    <col min="1" max="1" width="2.109375" customWidth="1"/>
    <col min="2" max="21" width="4.6640625" customWidth="1"/>
  </cols>
  <sheetData>
    <row r="1" spans="2:21" ht="13.5" customHeight="1" x14ac:dyDescent="0.2">
      <c r="R1" s="766" t="s">
        <v>0</v>
      </c>
      <c r="S1" s="766"/>
      <c r="T1" s="766"/>
      <c r="U1" s="766"/>
    </row>
    <row r="2" spans="2:21" ht="13.5" customHeight="1" x14ac:dyDescent="0.25">
      <c r="B2" s="780" t="s">
        <v>1</v>
      </c>
      <c r="C2" s="780"/>
      <c r="D2" s="780"/>
      <c r="E2" s="780"/>
      <c r="F2" s="780"/>
      <c r="G2" s="262" t="s">
        <v>2</v>
      </c>
      <c r="H2" s="767"/>
      <c r="I2" s="767"/>
      <c r="J2" s="768"/>
      <c r="L2" s="771" t="s">
        <v>3</v>
      </c>
      <c r="M2" s="771"/>
      <c r="N2" s="772"/>
      <c r="O2" s="772"/>
      <c r="P2" s="772"/>
      <c r="R2" s="781" t="s">
        <v>4</v>
      </c>
      <c r="S2" s="782"/>
      <c r="T2" s="773"/>
      <c r="U2" s="774"/>
    </row>
    <row r="3" spans="2:21" ht="13.5" customHeight="1" x14ac:dyDescent="0.25">
      <c r="G3" s="253"/>
      <c r="H3" s="769"/>
      <c r="I3" s="769"/>
      <c r="J3" s="770"/>
      <c r="L3" s="771" t="s">
        <v>5</v>
      </c>
      <c r="M3" s="771"/>
      <c r="N3" s="775"/>
      <c r="O3" s="775"/>
      <c r="P3" s="775"/>
      <c r="R3" s="781" t="s">
        <v>6</v>
      </c>
      <c r="S3" s="782"/>
      <c r="T3" s="773"/>
      <c r="U3" s="774"/>
    </row>
    <row r="4" spans="2:21" ht="13.5" customHeight="1" x14ac:dyDescent="0.2"/>
    <row r="5" spans="2:21" ht="13.5" customHeight="1" thickBot="1" x14ac:dyDescent="0.25">
      <c r="H5" s="252"/>
      <c r="I5" s="252"/>
      <c r="J5" s="252"/>
    </row>
    <row r="6" spans="2:21" ht="27" customHeight="1" x14ac:dyDescent="0.2">
      <c r="B6" s="776" t="s">
        <v>7</v>
      </c>
      <c r="C6" s="777"/>
      <c r="D6" s="777"/>
      <c r="E6" s="777"/>
      <c r="F6" s="777"/>
      <c r="G6" s="777"/>
      <c r="H6" s="777"/>
      <c r="I6" s="777"/>
      <c r="J6" s="777"/>
      <c r="K6" s="778"/>
      <c r="L6" s="777" t="s">
        <v>8</v>
      </c>
      <c r="M6" s="777"/>
      <c r="N6" s="777"/>
      <c r="O6" s="777"/>
      <c r="P6" s="777"/>
      <c r="Q6" s="777"/>
      <c r="R6" s="777"/>
      <c r="S6" s="777"/>
      <c r="T6" s="777"/>
      <c r="U6" s="779"/>
    </row>
    <row r="7" spans="2:21" x14ac:dyDescent="0.2">
      <c r="B7" s="260" t="s">
        <v>9</v>
      </c>
      <c r="C7" s="360" t="s">
        <v>10</v>
      </c>
      <c r="D7" s="258" t="s">
        <v>11</v>
      </c>
      <c r="E7" s="257" t="s">
        <v>12</v>
      </c>
      <c r="F7" s="751" t="s">
        <v>13</v>
      </c>
      <c r="G7" s="751"/>
      <c r="H7" s="751" t="s">
        <v>14</v>
      </c>
      <c r="I7" s="788"/>
      <c r="J7" s="760" t="s">
        <v>15</v>
      </c>
      <c r="K7" s="761"/>
      <c r="L7" s="761" t="s">
        <v>16</v>
      </c>
      <c r="M7" s="764"/>
      <c r="N7" s="259" t="s">
        <v>9</v>
      </c>
      <c r="O7" s="360" t="s">
        <v>10</v>
      </c>
      <c r="P7" s="258" t="s">
        <v>11</v>
      </c>
      <c r="Q7" s="257" t="s">
        <v>12</v>
      </c>
      <c r="R7" s="751" t="s">
        <v>13</v>
      </c>
      <c r="S7" s="751"/>
      <c r="T7" s="751" t="s">
        <v>14</v>
      </c>
      <c r="U7" s="752"/>
    </row>
    <row r="8" spans="2:21" x14ac:dyDescent="0.2">
      <c r="B8" s="256" t="s">
        <v>17</v>
      </c>
      <c r="C8" s="255" t="s">
        <v>18</v>
      </c>
      <c r="D8" s="749" t="s">
        <v>19</v>
      </c>
      <c r="E8" s="750"/>
      <c r="F8" s="753" t="s">
        <v>20</v>
      </c>
      <c r="G8" s="759"/>
      <c r="H8" s="753" t="s">
        <v>21</v>
      </c>
      <c r="I8" s="787"/>
      <c r="J8" s="762"/>
      <c r="K8" s="763"/>
      <c r="L8" s="763"/>
      <c r="M8" s="765"/>
      <c r="N8" s="254" t="s">
        <v>17</v>
      </c>
      <c r="O8" s="254" t="s">
        <v>18</v>
      </c>
      <c r="P8" s="749" t="s">
        <v>19</v>
      </c>
      <c r="Q8" s="750"/>
      <c r="R8" s="753" t="s">
        <v>20</v>
      </c>
      <c r="S8" s="759"/>
      <c r="T8" s="753" t="s">
        <v>21</v>
      </c>
      <c r="U8" s="754"/>
    </row>
    <row r="9" spans="2:21" x14ac:dyDescent="0.2">
      <c r="B9" s="249"/>
      <c r="C9" s="205" t="s">
        <v>22</v>
      </c>
      <c r="D9" s="204" t="s">
        <v>22</v>
      </c>
      <c r="E9" s="203"/>
      <c r="F9" s="783" t="s">
        <v>22</v>
      </c>
      <c r="G9" s="784"/>
      <c r="H9" s="757"/>
      <c r="I9" s="785"/>
      <c r="J9" s="786" t="s">
        <v>23</v>
      </c>
      <c r="K9" s="755"/>
      <c r="L9" s="755"/>
      <c r="M9" s="756"/>
      <c r="N9" s="205"/>
      <c r="O9" s="205"/>
      <c r="P9" s="204"/>
      <c r="Q9" s="203"/>
      <c r="R9" s="783"/>
      <c r="S9" s="784"/>
      <c r="T9" s="757"/>
      <c r="U9" s="758"/>
    </row>
    <row r="10" spans="2:21" x14ac:dyDescent="0.2">
      <c r="B10" s="236"/>
      <c r="C10" s="206"/>
      <c r="D10" s="363"/>
      <c r="E10" s="365"/>
      <c r="F10" s="742"/>
      <c r="G10" s="743"/>
      <c r="H10" s="742"/>
      <c r="I10" s="744"/>
      <c r="J10" s="745"/>
      <c r="K10" s="746"/>
      <c r="L10" s="746"/>
      <c r="M10" s="747"/>
      <c r="N10" s="206"/>
      <c r="O10" s="206"/>
      <c r="P10" s="363"/>
      <c r="Q10" s="365"/>
      <c r="R10" s="742"/>
      <c r="S10" s="743"/>
      <c r="T10" s="742"/>
      <c r="U10" s="748"/>
    </row>
    <row r="11" spans="2:21" x14ac:dyDescent="0.2">
      <c r="B11" s="236"/>
      <c r="C11" s="206"/>
      <c r="D11" s="363"/>
      <c r="E11" s="365"/>
      <c r="F11" s="742"/>
      <c r="G11" s="743"/>
      <c r="H11" s="742"/>
      <c r="I11" s="744"/>
      <c r="J11" s="745"/>
      <c r="K11" s="746"/>
      <c r="L11" s="746"/>
      <c r="M11" s="747"/>
      <c r="N11" s="206"/>
      <c r="O11" s="206"/>
      <c r="P11" s="363"/>
      <c r="Q11" s="365"/>
      <c r="R11" s="742"/>
      <c r="S11" s="743"/>
      <c r="T11" s="742"/>
      <c r="U11" s="748"/>
    </row>
    <row r="12" spans="2:21" x14ac:dyDescent="0.2">
      <c r="B12" s="236"/>
      <c r="C12" s="206"/>
      <c r="D12" s="363"/>
      <c r="E12" s="365"/>
      <c r="F12" s="742"/>
      <c r="G12" s="743"/>
      <c r="H12" s="742"/>
      <c r="I12" s="744"/>
      <c r="J12" s="745"/>
      <c r="K12" s="746"/>
      <c r="L12" s="746"/>
      <c r="M12" s="747"/>
      <c r="N12" s="206"/>
      <c r="O12" s="206"/>
      <c r="P12" s="363"/>
      <c r="Q12" s="365"/>
      <c r="R12" s="742"/>
      <c r="S12" s="743"/>
      <c r="T12" s="742"/>
      <c r="U12" s="748"/>
    </row>
    <row r="13" spans="2:21" x14ac:dyDescent="0.2">
      <c r="B13" s="236"/>
      <c r="C13" s="206"/>
      <c r="D13" s="363"/>
      <c r="E13" s="365"/>
      <c r="F13" s="742"/>
      <c r="G13" s="743"/>
      <c r="H13" s="742"/>
      <c r="I13" s="744"/>
      <c r="J13" s="745"/>
      <c r="K13" s="746"/>
      <c r="L13" s="746"/>
      <c r="M13" s="747"/>
      <c r="N13" s="206"/>
      <c r="O13" s="206"/>
      <c r="P13" s="363"/>
      <c r="Q13" s="365"/>
      <c r="R13" s="742"/>
      <c r="S13" s="743"/>
      <c r="T13" s="742"/>
      <c r="U13" s="748"/>
    </row>
    <row r="14" spans="2:21" x14ac:dyDescent="0.2">
      <c r="B14" s="236"/>
      <c r="C14" s="206"/>
      <c r="D14" s="363"/>
      <c r="E14" s="365"/>
      <c r="F14" s="742"/>
      <c r="G14" s="743"/>
      <c r="H14" s="742"/>
      <c r="I14" s="744"/>
      <c r="J14" s="745"/>
      <c r="K14" s="746"/>
      <c r="L14" s="746"/>
      <c r="M14" s="747"/>
      <c r="N14" s="206"/>
      <c r="O14" s="206"/>
      <c r="P14" s="363"/>
      <c r="Q14" s="365"/>
      <c r="R14" s="742"/>
      <c r="S14" s="743"/>
      <c r="T14" s="742"/>
      <c r="U14" s="748"/>
    </row>
    <row r="15" spans="2:21" x14ac:dyDescent="0.2">
      <c r="B15" s="236"/>
      <c r="C15" s="206"/>
      <c r="D15" s="363"/>
      <c r="E15" s="365"/>
      <c r="F15" s="742"/>
      <c r="G15" s="743"/>
      <c r="H15" s="742"/>
      <c r="I15" s="744"/>
      <c r="J15" s="745"/>
      <c r="K15" s="746"/>
      <c r="L15" s="746"/>
      <c r="M15" s="747"/>
      <c r="N15" s="206"/>
      <c r="O15" s="206"/>
      <c r="P15" s="363"/>
      <c r="Q15" s="365"/>
      <c r="R15" s="742"/>
      <c r="S15" s="743"/>
      <c r="T15" s="742"/>
      <c r="U15" s="748"/>
    </row>
    <row r="16" spans="2:21" x14ac:dyDescent="0.2">
      <c r="B16" s="236"/>
      <c r="C16" s="206"/>
      <c r="D16" s="363"/>
      <c r="E16" s="365"/>
      <c r="F16" s="742"/>
      <c r="G16" s="743"/>
      <c r="H16" s="742"/>
      <c r="I16" s="744"/>
      <c r="J16" s="745"/>
      <c r="K16" s="746"/>
      <c r="L16" s="746"/>
      <c r="M16" s="747"/>
      <c r="N16" s="206"/>
      <c r="O16" s="206"/>
      <c r="P16" s="363"/>
      <c r="Q16" s="365"/>
      <c r="R16" s="742"/>
      <c r="S16" s="743"/>
      <c r="T16" s="742"/>
      <c r="U16" s="748"/>
    </row>
    <row r="17" spans="2:21" x14ac:dyDescent="0.2">
      <c r="B17" s="236"/>
      <c r="C17" s="206"/>
      <c r="D17" s="363"/>
      <c r="E17" s="365"/>
      <c r="F17" s="742"/>
      <c r="G17" s="743"/>
      <c r="H17" s="742"/>
      <c r="I17" s="744"/>
      <c r="J17" s="745"/>
      <c r="K17" s="746"/>
      <c r="L17" s="746"/>
      <c r="M17" s="747"/>
      <c r="N17" s="206"/>
      <c r="O17" s="206"/>
      <c r="P17" s="363"/>
      <c r="Q17" s="365"/>
      <c r="R17" s="742"/>
      <c r="S17" s="743"/>
      <c r="T17" s="742"/>
      <c r="U17" s="748"/>
    </row>
    <row r="18" spans="2:21" x14ac:dyDescent="0.2">
      <c r="B18" s="236"/>
      <c r="C18" s="206"/>
      <c r="D18" s="363"/>
      <c r="E18" s="365"/>
      <c r="F18" s="742"/>
      <c r="G18" s="743"/>
      <c r="H18" s="742"/>
      <c r="I18" s="744"/>
      <c r="J18" s="745"/>
      <c r="K18" s="746"/>
      <c r="L18" s="746"/>
      <c r="M18" s="747"/>
      <c r="N18" s="206"/>
      <c r="O18" s="206"/>
      <c r="P18" s="363"/>
      <c r="Q18" s="365"/>
      <c r="R18" s="742"/>
      <c r="S18" s="743"/>
      <c r="T18" s="742"/>
      <c r="U18" s="748"/>
    </row>
    <row r="19" spans="2:21" x14ac:dyDescent="0.2">
      <c r="B19" s="236"/>
      <c r="C19" s="206"/>
      <c r="D19" s="363"/>
      <c r="E19" s="365"/>
      <c r="F19" s="742"/>
      <c r="G19" s="743"/>
      <c r="H19" s="742"/>
      <c r="I19" s="744"/>
      <c r="J19" s="745"/>
      <c r="K19" s="746"/>
      <c r="L19" s="746"/>
      <c r="M19" s="747"/>
      <c r="N19" s="206"/>
      <c r="O19" s="206"/>
      <c r="P19" s="363"/>
      <c r="Q19" s="365"/>
      <c r="R19" s="742"/>
      <c r="S19" s="743"/>
      <c r="T19" s="742"/>
      <c r="U19" s="748"/>
    </row>
    <row r="20" spans="2:21" x14ac:dyDescent="0.2">
      <c r="B20" s="236"/>
      <c r="C20" s="206"/>
      <c r="D20" s="363"/>
      <c r="E20" s="365"/>
      <c r="F20" s="742"/>
      <c r="G20" s="743"/>
      <c r="H20" s="742"/>
      <c r="I20" s="744"/>
      <c r="J20" s="745"/>
      <c r="K20" s="746"/>
      <c r="L20" s="746"/>
      <c r="M20" s="747"/>
      <c r="N20" s="206"/>
      <c r="O20" s="206"/>
      <c r="P20" s="363"/>
      <c r="Q20" s="365"/>
      <c r="R20" s="742"/>
      <c r="S20" s="743"/>
      <c r="T20" s="742"/>
      <c r="U20" s="748"/>
    </row>
    <row r="21" spans="2:21" x14ac:dyDescent="0.2">
      <c r="B21" s="236"/>
      <c r="C21" s="206"/>
      <c r="D21" s="363"/>
      <c r="E21" s="365"/>
      <c r="F21" s="742"/>
      <c r="G21" s="743"/>
      <c r="H21" s="742"/>
      <c r="I21" s="744"/>
      <c r="J21" s="745"/>
      <c r="K21" s="746"/>
      <c r="L21" s="746"/>
      <c r="M21" s="747"/>
      <c r="N21" s="206"/>
      <c r="O21" s="206"/>
      <c r="P21" s="363"/>
      <c r="Q21" s="365"/>
      <c r="R21" s="742"/>
      <c r="S21" s="743"/>
      <c r="T21" s="742"/>
      <c r="U21" s="748"/>
    </row>
    <row r="22" spans="2:21" x14ac:dyDescent="0.2">
      <c r="B22" s="236"/>
      <c r="C22" s="206"/>
      <c r="D22" s="363"/>
      <c r="E22" s="365"/>
      <c r="F22" s="742"/>
      <c r="G22" s="743"/>
      <c r="H22" s="742"/>
      <c r="I22" s="744"/>
      <c r="J22" s="745"/>
      <c r="K22" s="746"/>
      <c r="L22" s="746"/>
      <c r="M22" s="747"/>
      <c r="N22" s="206"/>
      <c r="O22" s="206"/>
      <c r="P22" s="363"/>
      <c r="Q22" s="365"/>
      <c r="R22" s="742"/>
      <c r="S22" s="743"/>
      <c r="T22" s="742"/>
      <c r="U22" s="748"/>
    </row>
    <row r="23" spans="2:21" x14ac:dyDescent="0.2">
      <c r="B23" s="236"/>
      <c r="C23" s="206"/>
      <c r="D23" s="363"/>
      <c r="E23" s="365"/>
      <c r="F23" s="742"/>
      <c r="G23" s="743"/>
      <c r="H23" s="742"/>
      <c r="I23" s="744"/>
      <c r="J23" s="745"/>
      <c r="K23" s="746"/>
      <c r="L23" s="746"/>
      <c r="M23" s="747"/>
      <c r="N23" s="206"/>
      <c r="O23" s="206"/>
      <c r="P23" s="363"/>
      <c r="Q23" s="365"/>
      <c r="R23" s="742"/>
      <c r="S23" s="743"/>
      <c r="T23" s="742"/>
      <c r="U23" s="748"/>
    </row>
    <row r="24" spans="2:21" x14ac:dyDescent="0.2">
      <c r="B24" s="236"/>
      <c r="C24" s="206"/>
      <c r="D24" s="363"/>
      <c r="E24" s="365"/>
      <c r="F24" s="742"/>
      <c r="G24" s="743"/>
      <c r="H24" s="742"/>
      <c r="I24" s="744"/>
      <c r="J24" s="745"/>
      <c r="K24" s="746"/>
      <c r="L24" s="746"/>
      <c r="M24" s="747"/>
      <c r="N24" s="206"/>
      <c r="O24" s="206"/>
      <c r="P24" s="363"/>
      <c r="Q24" s="365"/>
      <c r="R24" s="742"/>
      <c r="S24" s="743"/>
      <c r="T24" s="742"/>
      <c r="U24" s="748"/>
    </row>
    <row r="25" spans="2:21" x14ac:dyDescent="0.2">
      <c r="B25" s="236"/>
      <c r="C25" s="206"/>
      <c r="D25" s="363"/>
      <c r="E25" s="365"/>
      <c r="F25" s="742"/>
      <c r="G25" s="743"/>
      <c r="H25" s="742"/>
      <c r="I25" s="744"/>
      <c r="J25" s="745"/>
      <c r="K25" s="746"/>
      <c r="L25" s="746"/>
      <c r="M25" s="747"/>
      <c r="N25" s="206"/>
      <c r="O25" s="206"/>
      <c r="P25" s="363"/>
      <c r="Q25" s="365"/>
      <c r="R25" s="742"/>
      <c r="S25" s="743"/>
      <c r="T25" s="742"/>
      <c r="U25" s="748"/>
    </row>
    <row r="26" spans="2:21" x14ac:dyDescent="0.2">
      <c r="B26" s="236"/>
      <c r="C26" s="206"/>
      <c r="D26" s="363"/>
      <c r="E26" s="365"/>
      <c r="F26" s="742"/>
      <c r="G26" s="743"/>
      <c r="H26" s="742"/>
      <c r="I26" s="744"/>
      <c r="J26" s="745"/>
      <c r="K26" s="746"/>
      <c r="L26" s="746"/>
      <c r="M26" s="747"/>
      <c r="N26" s="206"/>
      <c r="O26" s="206"/>
      <c r="P26" s="363"/>
      <c r="Q26" s="365"/>
      <c r="R26" s="742"/>
      <c r="S26" s="743"/>
      <c r="T26" s="742"/>
      <c r="U26" s="748"/>
    </row>
    <row r="27" spans="2:21" x14ac:dyDescent="0.2">
      <c r="B27" s="236"/>
      <c r="C27" s="206"/>
      <c r="D27" s="363"/>
      <c r="E27" s="365"/>
      <c r="F27" s="742"/>
      <c r="G27" s="743"/>
      <c r="H27" s="742"/>
      <c r="I27" s="744"/>
      <c r="J27" s="745"/>
      <c r="K27" s="746"/>
      <c r="L27" s="746"/>
      <c r="M27" s="747"/>
      <c r="N27" s="206"/>
      <c r="O27" s="206"/>
      <c r="P27" s="363"/>
      <c r="Q27" s="365"/>
      <c r="R27" s="742"/>
      <c r="S27" s="743"/>
      <c r="T27" s="742"/>
      <c r="U27" s="748"/>
    </row>
    <row r="28" spans="2:21" x14ac:dyDescent="0.2">
      <c r="B28" s="236"/>
      <c r="C28" s="206"/>
      <c r="D28" s="363"/>
      <c r="E28" s="365"/>
      <c r="F28" s="742"/>
      <c r="G28" s="743"/>
      <c r="H28" s="742"/>
      <c r="I28" s="744"/>
      <c r="J28" s="745"/>
      <c r="K28" s="746"/>
      <c r="L28" s="746"/>
      <c r="M28" s="747"/>
      <c r="N28" s="206"/>
      <c r="O28" s="206"/>
      <c r="P28" s="363"/>
      <c r="Q28" s="365"/>
      <c r="R28" s="742"/>
      <c r="S28" s="743"/>
      <c r="T28" s="742"/>
      <c r="U28" s="748"/>
    </row>
    <row r="29" spans="2:21" x14ac:dyDescent="0.2">
      <c r="B29" s="236"/>
      <c r="C29" s="206"/>
      <c r="D29" s="363"/>
      <c r="E29" s="365"/>
      <c r="F29" s="742"/>
      <c r="G29" s="743"/>
      <c r="H29" s="742"/>
      <c r="I29" s="744"/>
      <c r="J29" s="745"/>
      <c r="K29" s="746"/>
      <c r="L29" s="746"/>
      <c r="M29" s="747"/>
      <c r="N29" s="206"/>
      <c r="O29" s="206"/>
      <c r="P29" s="363"/>
      <c r="Q29" s="365"/>
      <c r="R29" s="742"/>
      <c r="S29" s="743"/>
      <c r="T29" s="742"/>
      <c r="U29" s="748"/>
    </row>
    <row r="30" spans="2:21" x14ac:dyDescent="0.2">
      <c r="B30" s="236"/>
      <c r="C30" s="206"/>
      <c r="D30" s="363"/>
      <c r="E30" s="365"/>
      <c r="F30" s="742"/>
      <c r="G30" s="743"/>
      <c r="H30" s="742"/>
      <c r="I30" s="744"/>
      <c r="J30" s="745"/>
      <c r="K30" s="746"/>
      <c r="L30" s="746"/>
      <c r="M30" s="747"/>
      <c r="N30" s="206"/>
      <c r="O30" s="206"/>
      <c r="P30" s="363"/>
      <c r="Q30" s="365"/>
      <c r="R30" s="742"/>
      <c r="S30" s="743"/>
      <c r="T30" s="742"/>
      <c r="U30" s="748"/>
    </row>
    <row r="31" spans="2:21" x14ac:dyDescent="0.2">
      <c r="B31" s="236"/>
      <c r="C31" s="206"/>
      <c r="D31" s="363"/>
      <c r="E31" s="365"/>
      <c r="F31" s="742"/>
      <c r="G31" s="743"/>
      <c r="H31" s="742"/>
      <c r="I31" s="744"/>
      <c r="J31" s="745"/>
      <c r="K31" s="746"/>
      <c r="L31" s="746"/>
      <c r="M31" s="747"/>
      <c r="N31" s="206"/>
      <c r="O31" s="206"/>
      <c r="P31" s="363"/>
      <c r="Q31" s="365"/>
      <c r="R31" s="742"/>
      <c r="S31" s="743"/>
      <c r="T31" s="742"/>
      <c r="U31" s="748"/>
    </row>
    <row r="32" spans="2:21" x14ac:dyDescent="0.2">
      <c r="B32" s="236"/>
      <c r="C32" s="206"/>
      <c r="D32" s="363"/>
      <c r="E32" s="365"/>
      <c r="F32" s="742"/>
      <c r="G32" s="743"/>
      <c r="H32" s="742"/>
      <c r="I32" s="744"/>
      <c r="J32" s="745"/>
      <c r="K32" s="746"/>
      <c r="L32" s="746"/>
      <c r="M32" s="747"/>
      <c r="N32" s="206"/>
      <c r="O32" s="206"/>
      <c r="P32" s="363"/>
      <c r="Q32" s="365"/>
      <c r="R32" s="742"/>
      <c r="S32" s="743"/>
      <c r="T32" s="742"/>
      <c r="U32" s="748"/>
    </row>
    <row r="33" spans="2:21" x14ac:dyDescent="0.2">
      <c r="B33" s="236"/>
      <c r="C33" s="206"/>
      <c r="D33" s="363"/>
      <c r="E33" s="365"/>
      <c r="F33" s="742"/>
      <c r="G33" s="743"/>
      <c r="H33" s="742"/>
      <c r="I33" s="744"/>
      <c r="J33" s="745"/>
      <c r="K33" s="746"/>
      <c r="L33" s="746"/>
      <c r="M33" s="747"/>
      <c r="N33" s="206"/>
      <c r="O33" s="206"/>
      <c r="P33" s="363"/>
      <c r="Q33" s="365"/>
      <c r="R33" s="742"/>
      <c r="S33" s="743"/>
      <c r="T33" s="742"/>
      <c r="U33" s="748"/>
    </row>
    <row r="34" spans="2:21" x14ac:dyDescent="0.2">
      <c r="B34" s="236"/>
      <c r="C34" s="206"/>
      <c r="D34" s="363"/>
      <c r="E34" s="365"/>
      <c r="F34" s="742"/>
      <c r="G34" s="743"/>
      <c r="H34" s="742"/>
      <c r="I34" s="744"/>
      <c r="J34" s="745"/>
      <c r="K34" s="746"/>
      <c r="L34" s="746"/>
      <c r="M34" s="747"/>
      <c r="N34" s="206"/>
      <c r="O34" s="206"/>
      <c r="P34" s="363"/>
      <c r="Q34" s="365"/>
      <c r="R34" s="742"/>
      <c r="S34" s="743"/>
      <c r="T34" s="742"/>
      <c r="U34" s="748"/>
    </row>
    <row r="35" spans="2:21" x14ac:dyDescent="0.2">
      <c r="B35" s="236"/>
      <c r="C35" s="206"/>
      <c r="D35" s="363"/>
      <c r="E35" s="365"/>
      <c r="F35" s="742"/>
      <c r="G35" s="743"/>
      <c r="H35" s="742"/>
      <c r="I35" s="744"/>
      <c r="J35" s="745"/>
      <c r="K35" s="746"/>
      <c r="L35" s="746"/>
      <c r="M35" s="747"/>
      <c r="N35" s="206"/>
      <c r="O35" s="206"/>
      <c r="P35" s="363"/>
      <c r="Q35" s="365"/>
      <c r="R35" s="742"/>
      <c r="S35" s="743"/>
      <c r="T35" s="742"/>
      <c r="U35" s="748"/>
    </row>
    <row r="36" spans="2:21" x14ac:dyDescent="0.2">
      <c r="B36" s="236"/>
      <c r="C36" s="206"/>
      <c r="D36" s="363"/>
      <c r="E36" s="365"/>
      <c r="F36" s="742"/>
      <c r="G36" s="743"/>
      <c r="H36" s="742"/>
      <c r="I36" s="744"/>
      <c r="J36" s="745"/>
      <c r="K36" s="746"/>
      <c r="L36" s="746"/>
      <c r="M36" s="747"/>
      <c r="N36" s="206"/>
      <c r="O36" s="206"/>
      <c r="P36" s="363"/>
      <c r="Q36" s="365"/>
      <c r="R36" s="742"/>
      <c r="S36" s="743"/>
      <c r="T36" s="742"/>
      <c r="U36" s="748"/>
    </row>
    <row r="37" spans="2:21" x14ac:dyDescent="0.2">
      <c r="B37" s="236"/>
      <c r="C37" s="206"/>
      <c r="D37" s="363"/>
      <c r="E37" s="365"/>
      <c r="F37" s="742"/>
      <c r="G37" s="743"/>
      <c r="H37" s="742"/>
      <c r="I37" s="744"/>
      <c r="J37" s="745"/>
      <c r="K37" s="746"/>
      <c r="L37" s="746"/>
      <c r="M37" s="747"/>
      <c r="N37" s="206"/>
      <c r="O37" s="206"/>
      <c r="P37" s="363"/>
      <c r="Q37" s="365"/>
      <c r="R37" s="742"/>
      <c r="S37" s="743"/>
      <c r="T37" s="742"/>
      <c r="U37" s="748"/>
    </row>
    <row r="38" spans="2:21" x14ac:dyDescent="0.2">
      <c r="B38" s="236"/>
      <c r="C38" s="206"/>
      <c r="D38" s="363"/>
      <c r="E38" s="365"/>
      <c r="F38" s="742"/>
      <c r="G38" s="743"/>
      <c r="H38" s="742"/>
      <c r="I38" s="744"/>
      <c r="J38" s="745"/>
      <c r="K38" s="746"/>
      <c r="L38" s="746"/>
      <c r="M38" s="747"/>
      <c r="N38" s="206"/>
      <c r="O38" s="206"/>
      <c r="P38" s="363"/>
      <c r="Q38" s="365"/>
      <c r="R38" s="742"/>
      <c r="S38" s="743"/>
      <c r="T38" s="742"/>
      <c r="U38" s="748"/>
    </row>
    <row r="39" spans="2:21" x14ac:dyDescent="0.2">
      <c r="B39" s="236"/>
      <c r="C39" s="206"/>
      <c r="D39" s="363"/>
      <c r="E39" s="365"/>
      <c r="F39" s="742"/>
      <c r="G39" s="743"/>
      <c r="H39" s="742"/>
      <c r="I39" s="744"/>
      <c r="J39" s="745"/>
      <c r="K39" s="746"/>
      <c r="L39" s="746"/>
      <c r="M39" s="747"/>
      <c r="N39" s="206"/>
      <c r="O39" s="206"/>
      <c r="P39" s="363"/>
      <c r="Q39" s="365"/>
      <c r="R39" s="742"/>
      <c r="S39" s="743"/>
      <c r="T39" s="742"/>
      <c r="U39" s="748"/>
    </row>
    <row r="40" spans="2:21" x14ac:dyDescent="0.2">
      <c r="B40" s="236"/>
      <c r="C40" s="206"/>
      <c r="D40" s="363"/>
      <c r="E40" s="365"/>
      <c r="F40" s="742"/>
      <c r="G40" s="743"/>
      <c r="H40" s="742"/>
      <c r="I40" s="744"/>
      <c r="J40" s="745"/>
      <c r="K40" s="746"/>
      <c r="L40" s="746"/>
      <c r="M40" s="747"/>
      <c r="N40" s="206"/>
      <c r="O40" s="206"/>
      <c r="P40" s="363"/>
      <c r="Q40" s="365"/>
      <c r="R40" s="742"/>
      <c r="S40" s="743"/>
      <c r="T40" s="742"/>
      <c r="U40" s="748"/>
    </row>
    <row r="41" spans="2:21" x14ac:dyDescent="0.2">
      <c r="B41" s="236"/>
      <c r="C41" s="206"/>
      <c r="D41" s="363"/>
      <c r="E41" s="365"/>
      <c r="F41" s="742"/>
      <c r="G41" s="743"/>
      <c r="H41" s="742"/>
      <c r="I41" s="744"/>
      <c r="J41" s="745"/>
      <c r="K41" s="746"/>
      <c r="L41" s="746"/>
      <c r="M41" s="747"/>
      <c r="N41" s="206"/>
      <c r="O41" s="206"/>
      <c r="P41" s="363"/>
      <c r="Q41" s="365"/>
      <c r="R41" s="742"/>
      <c r="S41" s="743"/>
      <c r="T41" s="742"/>
      <c r="U41" s="748"/>
    </row>
    <row r="42" spans="2:21" x14ac:dyDescent="0.2">
      <c r="B42" s="236"/>
      <c r="C42" s="206"/>
      <c r="D42" s="363"/>
      <c r="E42" s="365"/>
      <c r="F42" s="742"/>
      <c r="G42" s="743"/>
      <c r="H42" s="742"/>
      <c r="I42" s="744"/>
      <c r="J42" s="745"/>
      <c r="K42" s="746"/>
      <c r="L42" s="746"/>
      <c r="M42" s="747"/>
      <c r="N42" s="206"/>
      <c r="O42" s="206"/>
      <c r="P42" s="363"/>
      <c r="Q42" s="365"/>
      <c r="R42" s="742"/>
      <c r="S42" s="743"/>
      <c r="T42" s="742"/>
      <c r="U42" s="748"/>
    </row>
    <row r="43" spans="2:21" x14ac:dyDescent="0.2">
      <c r="B43" s="236"/>
      <c r="C43" s="206"/>
      <c r="D43" s="363"/>
      <c r="E43" s="365"/>
      <c r="F43" s="742"/>
      <c r="G43" s="743"/>
      <c r="H43" s="742"/>
      <c r="I43" s="744"/>
      <c r="J43" s="745"/>
      <c r="K43" s="746"/>
      <c r="L43" s="746"/>
      <c r="M43" s="747"/>
      <c r="N43" s="206"/>
      <c r="O43" s="206"/>
      <c r="P43" s="363"/>
      <c r="Q43" s="365"/>
      <c r="R43" s="742"/>
      <c r="S43" s="743"/>
      <c r="T43" s="742"/>
      <c r="U43" s="748"/>
    </row>
    <row r="44" spans="2:21" x14ac:dyDescent="0.2">
      <c r="B44" s="236"/>
      <c r="C44" s="206"/>
      <c r="D44" s="363"/>
      <c r="E44" s="365"/>
      <c r="F44" s="742"/>
      <c r="G44" s="743"/>
      <c r="H44" s="742"/>
      <c r="I44" s="744"/>
      <c r="J44" s="745"/>
      <c r="K44" s="746"/>
      <c r="L44" s="746"/>
      <c r="M44" s="747"/>
      <c r="N44" s="206"/>
      <c r="O44" s="206"/>
      <c r="P44" s="363"/>
      <c r="Q44" s="365"/>
      <c r="R44" s="742"/>
      <c r="S44" s="743"/>
      <c r="T44" s="742"/>
      <c r="U44" s="748"/>
    </row>
    <row r="45" spans="2:21" x14ac:dyDescent="0.2">
      <c r="B45" s="236"/>
      <c r="C45" s="206"/>
      <c r="D45" s="363"/>
      <c r="E45" s="365"/>
      <c r="F45" s="742"/>
      <c r="G45" s="743"/>
      <c r="H45" s="742"/>
      <c r="I45" s="744"/>
      <c r="J45" s="745"/>
      <c r="K45" s="746"/>
      <c r="L45" s="746"/>
      <c r="M45" s="747"/>
      <c r="N45" s="206"/>
      <c r="O45" s="206"/>
      <c r="P45" s="363"/>
      <c r="Q45" s="365"/>
      <c r="R45" s="742"/>
      <c r="S45" s="743"/>
      <c r="T45" s="742"/>
      <c r="U45" s="748"/>
    </row>
    <row r="46" spans="2:21" x14ac:dyDescent="0.2">
      <c r="B46" s="236"/>
      <c r="C46" s="206"/>
      <c r="D46" s="363"/>
      <c r="E46" s="365"/>
      <c r="F46" s="742"/>
      <c r="G46" s="743"/>
      <c r="H46" s="742"/>
      <c r="I46" s="744"/>
      <c r="J46" s="745"/>
      <c r="K46" s="746"/>
      <c r="L46" s="746"/>
      <c r="M46" s="747"/>
      <c r="N46" s="206"/>
      <c r="O46" s="206"/>
      <c r="P46" s="363"/>
      <c r="Q46" s="365"/>
      <c r="R46" s="742"/>
      <c r="S46" s="743"/>
      <c r="T46" s="742"/>
      <c r="U46" s="748"/>
    </row>
    <row r="47" spans="2:21" x14ac:dyDescent="0.2">
      <c r="B47" s="236"/>
      <c r="C47" s="206"/>
      <c r="D47" s="363"/>
      <c r="E47" s="365"/>
      <c r="F47" s="742"/>
      <c r="G47" s="743"/>
      <c r="H47" s="742"/>
      <c r="I47" s="744"/>
      <c r="J47" s="745"/>
      <c r="K47" s="746"/>
      <c r="L47" s="746"/>
      <c r="M47" s="747"/>
      <c r="N47" s="206"/>
      <c r="O47" s="206"/>
      <c r="P47" s="363"/>
      <c r="Q47" s="365"/>
      <c r="R47" s="742"/>
      <c r="S47" s="743"/>
      <c r="T47" s="742"/>
      <c r="U47" s="748"/>
    </row>
    <row r="48" spans="2:21" x14ac:dyDescent="0.2">
      <c r="B48" s="236"/>
      <c r="C48" s="206"/>
      <c r="D48" s="363"/>
      <c r="E48" s="365"/>
      <c r="F48" s="742"/>
      <c r="G48" s="743"/>
      <c r="H48" s="742"/>
      <c r="I48" s="744"/>
      <c r="J48" s="745"/>
      <c r="K48" s="746"/>
      <c r="L48" s="746"/>
      <c r="M48" s="747"/>
      <c r="N48" s="206"/>
      <c r="O48" s="206"/>
      <c r="P48" s="363"/>
      <c r="Q48" s="365"/>
      <c r="R48" s="742"/>
      <c r="S48" s="743"/>
      <c r="T48" s="742"/>
      <c r="U48" s="748"/>
    </row>
    <row r="49" spans="2:21" x14ac:dyDescent="0.2">
      <c r="B49" s="236"/>
      <c r="C49" s="206"/>
      <c r="D49" s="363"/>
      <c r="E49" s="365"/>
      <c r="F49" s="742"/>
      <c r="G49" s="743"/>
      <c r="H49" s="742"/>
      <c r="I49" s="744"/>
      <c r="J49" s="745"/>
      <c r="K49" s="746"/>
      <c r="L49" s="746"/>
      <c r="M49" s="747"/>
      <c r="N49" s="206"/>
      <c r="O49" s="206"/>
      <c r="P49" s="363"/>
      <c r="Q49" s="365"/>
      <c r="R49" s="742"/>
      <c r="S49" s="743"/>
      <c r="T49" s="742"/>
      <c r="U49" s="748"/>
    </row>
    <row r="50" spans="2:21" x14ac:dyDescent="0.2">
      <c r="B50" s="236"/>
      <c r="C50" s="206"/>
      <c r="D50" s="363"/>
      <c r="E50" s="365"/>
      <c r="F50" s="742"/>
      <c r="G50" s="743"/>
      <c r="H50" s="742"/>
      <c r="I50" s="744"/>
      <c r="J50" s="745"/>
      <c r="K50" s="746"/>
      <c r="L50" s="746"/>
      <c r="M50" s="747"/>
      <c r="N50" s="206"/>
      <c r="O50" s="206"/>
      <c r="P50" s="363"/>
      <c r="Q50" s="365"/>
      <c r="R50" s="742"/>
      <c r="S50" s="743"/>
      <c r="T50" s="742"/>
      <c r="U50" s="748"/>
    </row>
    <row r="51" spans="2:21" x14ac:dyDescent="0.2">
      <c r="B51" s="236"/>
      <c r="C51" s="206"/>
      <c r="D51" s="363"/>
      <c r="E51" s="365"/>
      <c r="F51" s="742"/>
      <c r="G51" s="743"/>
      <c r="H51" s="742"/>
      <c r="I51" s="744"/>
      <c r="J51" s="745"/>
      <c r="K51" s="746"/>
      <c r="L51" s="746"/>
      <c r="M51" s="747"/>
      <c r="N51" s="206"/>
      <c r="O51" s="206"/>
      <c r="P51" s="363"/>
      <c r="Q51" s="365"/>
      <c r="R51" s="742"/>
      <c r="S51" s="743"/>
      <c r="T51" s="742"/>
      <c r="U51" s="748"/>
    </row>
    <row r="52" spans="2:21" x14ac:dyDescent="0.2">
      <c r="B52" s="236"/>
      <c r="C52" s="206"/>
      <c r="D52" s="363"/>
      <c r="E52" s="365"/>
      <c r="F52" s="742"/>
      <c r="G52" s="743"/>
      <c r="H52" s="742"/>
      <c r="I52" s="744"/>
      <c r="J52" s="745"/>
      <c r="K52" s="746"/>
      <c r="L52" s="746"/>
      <c r="M52" s="747"/>
      <c r="N52" s="206"/>
      <c r="O52" s="206"/>
      <c r="P52" s="363"/>
      <c r="Q52" s="365"/>
      <c r="R52" s="742"/>
      <c r="S52" s="743"/>
      <c r="T52" s="742"/>
      <c r="U52" s="748"/>
    </row>
    <row r="53" spans="2:21" x14ac:dyDescent="0.2">
      <c r="B53" s="236"/>
      <c r="C53" s="206"/>
      <c r="D53" s="363"/>
      <c r="E53" s="365"/>
      <c r="F53" s="742"/>
      <c r="G53" s="743"/>
      <c r="H53" s="742"/>
      <c r="I53" s="744"/>
      <c r="J53" s="745"/>
      <c r="K53" s="746"/>
      <c r="L53" s="746"/>
      <c r="M53" s="747"/>
      <c r="N53" s="206"/>
      <c r="O53" s="206"/>
      <c r="P53" s="363"/>
      <c r="Q53" s="365"/>
      <c r="R53" s="742"/>
      <c r="S53" s="743"/>
      <c r="T53" s="742"/>
      <c r="U53" s="748"/>
    </row>
    <row r="54" spans="2:21" x14ac:dyDescent="0.2">
      <c r="B54" s="236"/>
      <c r="C54" s="206"/>
      <c r="D54" s="363"/>
      <c r="E54" s="365"/>
      <c r="F54" s="742"/>
      <c r="G54" s="743"/>
      <c r="H54" s="742"/>
      <c r="I54" s="744"/>
      <c r="J54" s="745"/>
      <c r="K54" s="746"/>
      <c r="L54" s="746"/>
      <c r="M54" s="747"/>
      <c r="N54" s="206"/>
      <c r="O54" s="206"/>
      <c r="P54" s="363"/>
      <c r="Q54" s="365"/>
      <c r="R54" s="742"/>
      <c r="S54" s="743"/>
      <c r="T54" s="742"/>
      <c r="U54" s="748"/>
    </row>
    <row r="55" spans="2:21" x14ac:dyDescent="0.2">
      <c r="B55" s="237"/>
      <c r="C55" s="365"/>
      <c r="D55" s="363"/>
      <c r="E55" s="365"/>
      <c r="F55" s="742"/>
      <c r="G55" s="743"/>
      <c r="H55" s="742"/>
      <c r="I55" s="744"/>
      <c r="J55" s="745"/>
      <c r="K55" s="746"/>
      <c r="L55" s="746"/>
      <c r="M55" s="747"/>
      <c r="N55" s="365"/>
      <c r="O55" s="365"/>
      <c r="P55" s="363"/>
      <c r="Q55" s="365"/>
      <c r="R55" s="742"/>
      <c r="S55" s="743"/>
      <c r="T55" s="742"/>
      <c r="U55" s="748"/>
    </row>
    <row r="56" spans="2:21" x14ac:dyDescent="0.2">
      <c r="B56" s="237"/>
      <c r="C56" s="365"/>
      <c r="D56" s="363"/>
      <c r="E56" s="365"/>
      <c r="F56" s="742"/>
      <c r="G56" s="743"/>
      <c r="H56" s="742"/>
      <c r="I56" s="744"/>
      <c r="J56" s="745"/>
      <c r="K56" s="746"/>
      <c r="L56" s="746"/>
      <c r="M56" s="747"/>
      <c r="N56" s="365"/>
      <c r="O56" s="365"/>
      <c r="P56" s="363"/>
      <c r="Q56" s="365"/>
      <c r="R56" s="742"/>
      <c r="S56" s="743"/>
      <c r="T56" s="742"/>
      <c r="U56" s="748"/>
    </row>
    <row r="57" spans="2:21" x14ac:dyDescent="0.2">
      <c r="B57" s="236"/>
      <c r="C57" s="206"/>
      <c r="D57" s="363"/>
      <c r="E57" s="365"/>
      <c r="F57" s="742"/>
      <c r="G57" s="743"/>
      <c r="H57" s="742"/>
      <c r="I57" s="744"/>
      <c r="J57" s="745"/>
      <c r="K57" s="746"/>
      <c r="L57" s="746"/>
      <c r="M57" s="747"/>
      <c r="N57" s="206"/>
      <c r="O57" s="206"/>
      <c r="P57" s="363"/>
      <c r="Q57" s="365"/>
      <c r="R57" s="742"/>
      <c r="S57" s="743"/>
      <c r="T57" s="742"/>
      <c r="U57" s="748"/>
    </row>
    <row r="58" spans="2:21" x14ac:dyDescent="0.2">
      <c r="B58" s="237"/>
      <c r="C58" s="365"/>
      <c r="D58" s="363"/>
      <c r="E58" s="365"/>
      <c r="F58" s="742"/>
      <c r="G58" s="743"/>
      <c r="H58" s="742"/>
      <c r="I58" s="744"/>
      <c r="J58" s="745"/>
      <c r="K58" s="746"/>
      <c r="L58" s="746"/>
      <c r="M58" s="747"/>
      <c r="N58" s="365"/>
      <c r="O58" s="365"/>
      <c r="P58" s="363"/>
      <c r="Q58" s="365"/>
      <c r="R58" s="742"/>
      <c r="S58" s="743"/>
      <c r="T58" s="742"/>
      <c r="U58" s="748"/>
    </row>
    <row r="59" spans="2:21" x14ac:dyDescent="0.2">
      <c r="B59" s="236"/>
      <c r="C59" s="206"/>
      <c r="D59" s="235"/>
      <c r="E59" s="206"/>
      <c r="F59" s="735"/>
      <c r="G59" s="736"/>
      <c r="H59" s="735"/>
      <c r="I59" s="737"/>
      <c r="J59" s="738"/>
      <c r="K59" s="739"/>
      <c r="L59" s="739"/>
      <c r="M59" s="740"/>
      <c r="N59" s="206"/>
      <c r="O59" s="206"/>
      <c r="P59" s="235"/>
      <c r="Q59" s="206"/>
      <c r="R59" s="735"/>
      <c r="S59" s="736"/>
      <c r="T59" s="735"/>
      <c r="U59" s="741"/>
    </row>
    <row r="60" spans="2:21" ht="13.8" thickBot="1" x14ac:dyDescent="0.25">
      <c r="B60" s="234"/>
      <c r="C60" s="233"/>
      <c r="D60" s="232"/>
      <c r="E60" s="231"/>
      <c r="F60" s="728"/>
      <c r="G60" s="729"/>
      <c r="H60" s="728"/>
      <c r="I60" s="730"/>
      <c r="J60" s="731"/>
      <c r="K60" s="732"/>
      <c r="L60" s="732"/>
      <c r="M60" s="733"/>
      <c r="N60" s="233"/>
      <c r="O60" s="233"/>
      <c r="P60" s="232"/>
      <c r="Q60" s="231"/>
      <c r="R60" s="728"/>
      <c r="S60" s="729"/>
      <c r="T60" s="728"/>
      <c r="U60" s="734"/>
    </row>
  </sheetData>
  <mergeCells count="337">
    <mergeCell ref="J54:K54"/>
    <mergeCell ref="R54:S54"/>
    <mergeCell ref="F55:G55"/>
    <mergeCell ref="H55:I55"/>
    <mergeCell ref="J55:K55"/>
    <mergeCell ref="R55:S55"/>
    <mergeCell ref="L55:M55"/>
    <mergeCell ref="F50:G50"/>
    <mergeCell ref="H50:I50"/>
    <mergeCell ref="J50:K50"/>
    <mergeCell ref="R50:S50"/>
    <mergeCell ref="F51:G51"/>
    <mergeCell ref="H51:I51"/>
    <mergeCell ref="J51:K51"/>
    <mergeCell ref="R51:S51"/>
    <mergeCell ref="L51:M51"/>
    <mergeCell ref="F49:G49"/>
    <mergeCell ref="H49:I49"/>
    <mergeCell ref="J49:K49"/>
    <mergeCell ref="F45:G45"/>
    <mergeCell ref="H45:I45"/>
    <mergeCell ref="J45:K45"/>
    <mergeCell ref="F47:G47"/>
    <mergeCell ref="F48:G48"/>
    <mergeCell ref="H48:I48"/>
    <mergeCell ref="J48:K48"/>
    <mergeCell ref="F46:G46"/>
    <mergeCell ref="H46:I46"/>
    <mergeCell ref="J46:K46"/>
    <mergeCell ref="H47:I47"/>
    <mergeCell ref="J47:K47"/>
    <mergeCell ref="F41:G41"/>
    <mergeCell ref="H41:I41"/>
    <mergeCell ref="J41:K41"/>
    <mergeCell ref="R41:S41"/>
    <mergeCell ref="F42:G42"/>
    <mergeCell ref="H42:I42"/>
    <mergeCell ref="J42:K42"/>
    <mergeCell ref="L41:M41"/>
    <mergeCell ref="F44:G44"/>
    <mergeCell ref="H44:I44"/>
    <mergeCell ref="J44:K44"/>
    <mergeCell ref="F43:G43"/>
    <mergeCell ref="H43:I43"/>
    <mergeCell ref="J43:K43"/>
    <mergeCell ref="L44:M44"/>
    <mergeCell ref="F38:G38"/>
    <mergeCell ref="H38:I38"/>
    <mergeCell ref="J38:K38"/>
    <mergeCell ref="L38:M38"/>
    <mergeCell ref="F39:G39"/>
    <mergeCell ref="H39:I39"/>
    <mergeCell ref="J39:K39"/>
    <mergeCell ref="R39:S39"/>
    <mergeCell ref="F40:G40"/>
    <mergeCell ref="H40:I40"/>
    <mergeCell ref="J40:K40"/>
    <mergeCell ref="F35:G35"/>
    <mergeCell ref="H35:I35"/>
    <mergeCell ref="J35:K35"/>
    <mergeCell ref="R35:S35"/>
    <mergeCell ref="F36:G36"/>
    <mergeCell ref="H36:I36"/>
    <mergeCell ref="J36:K36"/>
    <mergeCell ref="L35:M35"/>
    <mergeCell ref="F37:G37"/>
    <mergeCell ref="H37:I37"/>
    <mergeCell ref="J37:K37"/>
    <mergeCell ref="R37:S37"/>
    <mergeCell ref="F32:G32"/>
    <mergeCell ref="H32:I32"/>
    <mergeCell ref="J32:K32"/>
    <mergeCell ref="L32:M32"/>
    <mergeCell ref="F33:G33"/>
    <mergeCell ref="H33:I33"/>
    <mergeCell ref="J33:K33"/>
    <mergeCell ref="R33:S33"/>
    <mergeCell ref="F34:G34"/>
    <mergeCell ref="H34:I34"/>
    <mergeCell ref="J34:K34"/>
    <mergeCell ref="F29:G29"/>
    <mergeCell ref="H29:I29"/>
    <mergeCell ref="J29:K29"/>
    <mergeCell ref="R29:S29"/>
    <mergeCell ref="F30:G30"/>
    <mergeCell ref="H30:I30"/>
    <mergeCell ref="J30:K30"/>
    <mergeCell ref="L29:M29"/>
    <mergeCell ref="F31:G31"/>
    <mergeCell ref="H31:I31"/>
    <mergeCell ref="J31:K31"/>
    <mergeCell ref="R31:S31"/>
    <mergeCell ref="F26:G26"/>
    <mergeCell ref="H26:I26"/>
    <mergeCell ref="J26:K26"/>
    <mergeCell ref="L26:M26"/>
    <mergeCell ref="F27:G27"/>
    <mergeCell ref="H27:I27"/>
    <mergeCell ref="J27:K27"/>
    <mergeCell ref="R27:S27"/>
    <mergeCell ref="F28:G28"/>
    <mergeCell ref="H28:I28"/>
    <mergeCell ref="J28:K28"/>
    <mergeCell ref="F23:G23"/>
    <mergeCell ref="H23:I23"/>
    <mergeCell ref="J23:K23"/>
    <mergeCell ref="R23:S23"/>
    <mergeCell ref="F24:G24"/>
    <mergeCell ref="H24:I24"/>
    <mergeCell ref="J24:K24"/>
    <mergeCell ref="L23:M23"/>
    <mergeCell ref="F25:G25"/>
    <mergeCell ref="H25:I25"/>
    <mergeCell ref="J25:K25"/>
    <mergeCell ref="R25:S25"/>
    <mergeCell ref="F20:G20"/>
    <mergeCell ref="H20:I20"/>
    <mergeCell ref="J20:K20"/>
    <mergeCell ref="L20:M20"/>
    <mergeCell ref="F21:G21"/>
    <mergeCell ref="H21:I21"/>
    <mergeCell ref="J21:K21"/>
    <mergeCell ref="R21:S21"/>
    <mergeCell ref="F22:G22"/>
    <mergeCell ref="H22:I22"/>
    <mergeCell ref="J22:K22"/>
    <mergeCell ref="F17:G17"/>
    <mergeCell ref="H17:I17"/>
    <mergeCell ref="J17:K17"/>
    <mergeCell ref="R17:S17"/>
    <mergeCell ref="F18:G18"/>
    <mergeCell ref="H18:I18"/>
    <mergeCell ref="J18:K18"/>
    <mergeCell ref="L17:M17"/>
    <mergeCell ref="F19:G19"/>
    <mergeCell ref="H19:I19"/>
    <mergeCell ref="J19:K19"/>
    <mergeCell ref="R19:S19"/>
    <mergeCell ref="F14:G14"/>
    <mergeCell ref="H14:I14"/>
    <mergeCell ref="J14:K14"/>
    <mergeCell ref="L14:M14"/>
    <mergeCell ref="F15:G15"/>
    <mergeCell ref="H15:I15"/>
    <mergeCell ref="J15:K15"/>
    <mergeCell ref="R15:S15"/>
    <mergeCell ref="F16:G16"/>
    <mergeCell ref="H16:I16"/>
    <mergeCell ref="J16:K16"/>
    <mergeCell ref="H12:I12"/>
    <mergeCell ref="J12:K12"/>
    <mergeCell ref="F9:G9"/>
    <mergeCell ref="H9:I9"/>
    <mergeCell ref="J9:K9"/>
    <mergeCell ref="R11:S11"/>
    <mergeCell ref="F8:G8"/>
    <mergeCell ref="H8:I8"/>
    <mergeCell ref="F7:G7"/>
    <mergeCell ref="H7:I7"/>
    <mergeCell ref="R9:S9"/>
    <mergeCell ref="F10:G10"/>
    <mergeCell ref="H10:I10"/>
    <mergeCell ref="J10:K10"/>
    <mergeCell ref="R10:S10"/>
    <mergeCell ref="F11:G11"/>
    <mergeCell ref="H11:I11"/>
    <mergeCell ref="R1:U1"/>
    <mergeCell ref="H2:J3"/>
    <mergeCell ref="L2:M2"/>
    <mergeCell ref="N2:P2"/>
    <mergeCell ref="T2:U2"/>
    <mergeCell ref="L3:M3"/>
    <mergeCell ref="N3:P3"/>
    <mergeCell ref="T3:U3"/>
    <mergeCell ref="B6:K6"/>
    <mergeCell ref="L6:U6"/>
    <mergeCell ref="B2:F2"/>
    <mergeCell ref="R2:S2"/>
    <mergeCell ref="R3:S3"/>
    <mergeCell ref="T7:U7"/>
    <mergeCell ref="L10:M10"/>
    <mergeCell ref="J11:K11"/>
    <mergeCell ref="T8:U8"/>
    <mergeCell ref="L9:M9"/>
    <mergeCell ref="T9:U9"/>
    <mergeCell ref="R7:S7"/>
    <mergeCell ref="P8:Q8"/>
    <mergeCell ref="R8:S8"/>
    <mergeCell ref="L11:M11"/>
    <mergeCell ref="T10:U10"/>
    <mergeCell ref="T11:U11"/>
    <mergeCell ref="J7:K8"/>
    <mergeCell ref="L7:M8"/>
    <mergeCell ref="D8:E8"/>
    <mergeCell ref="R13:S13"/>
    <mergeCell ref="T17:U17"/>
    <mergeCell ref="L18:M18"/>
    <mergeCell ref="T18:U18"/>
    <mergeCell ref="R16:S16"/>
    <mergeCell ref="R18:S18"/>
    <mergeCell ref="L19:M19"/>
    <mergeCell ref="T19:U19"/>
    <mergeCell ref="T14:U14"/>
    <mergeCell ref="L15:M15"/>
    <mergeCell ref="T15:U15"/>
    <mergeCell ref="R14:S14"/>
    <mergeCell ref="L16:M16"/>
    <mergeCell ref="T16:U16"/>
    <mergeCell ref="F13:G13"/>
    <mergeCell ref="H13:I13"/>
    <mergeCell ref="J13:K13"/>
    <mergeCell ref="L12:M12"/>
    <mergeCell ref="T12:U12"/>
    <mergeCell ref="L13:M13"/>
    <mergeCell ref="T13:U13"/>
    <mergeCell ref="R12:S12"/>
    <mergeCell ref="F12:G12"/>
    <mergeCell ref="T23:U23"/>
    <mergeCell ref="L24:M24"/>
    <mergeCell ref="T24:U24"/>
    <mergeCell ref="R22:S22"/>
    <mergeCell ref="R24:S24"/>
    <mergeCell ref="L25:M25"/>
    <mergeCell ref="T25:U25"/>
    <mergeCell ref="T20:U20"/>
    <mergeCell ref="L21:M21"/>
    <mergeCell ref="T21:U21"/>
    <mergeCell ref="R20:S20"/>
    <mergeCell ref="L22:M22"/>
    <mergeCell ref="T22:U22"/>
    <mergeCell ref="T29:U29"/>
    <mergeCell ref="L30:M30"/>
    <mergeCell ref="T30:U30"/>
    <mergeCell ref="R28:S28"/>
    <mergeCell ref="R30:S30"/>
    <mergeCell ref="L31:M31"/>
    <mergeCell ref="T31:U31"/>
    <mergeCell ref="T26:U26"/>
    <mergeCell ref="L27:M27"/>
    <mergeCell ref="T27:U27"/>
    <mergeCell ref="R26:S26"/>
    <mergeCell ref="L28:M28"/>
    <mergeCell ref="T28:U28"/>
    <mergeCell ref="T35:U35"/>
    <mergeCell ref="L36:M36"/>
    <mergeCell ref="T36:U36"/>
    <mergeCell ref="R34:S34"/>
    <mergeCell ref="R36:S36"/>
    <mergeCell ref="L37:M37"/>
    <mergeCell ref="T37:U37"/>
    <mergeCell ref="T32:U32"/>
    <mergeCell ref="L33:M33"/>
    <mergeCell ref="T33:U33"/>
    <mergeCell ref="R32:S32"/>
    <mergeCell ref="L34:M34"/>
    <mergeCell ref="T34:U34"/>
    <mergeCell ref="T41:U41"/>
    <mergeCell ref="L42:M42"/>
    <mergeCell ref="T42:U42"/>
    <mergeCell ref="R40:S40"/>
    <mergeCell ref="R42:S42"/>
    <mergeCell ref="T43:U43"/>
    <mergeCell ref="T38:U38"/>
    <mergeCell ref="L39:M39"/>
    <mergeCell ref="T39:U39"/>
    <mergeCell ref="R38:S38"/>
    <mergeCell ref="L40:M40"/>
    <mergeCell ref="T40:U40"/>
    <mergeCell ref="T44:U44"/>
    <mergeCell ref="T45:U45"/>
    <mergeCell ref="L46:M46"/>
    <mergeCell ref="T46:U46"/>
    <mergeCell ref="L43:M43"/>
    <mergeCell ref="R43:S43"/>
    <mergeCell ref="L45:M45"/>
    <mergeCell ref="R44:S44"/>
    <mergeCell ref="R45:S45"/>
    <mergeCell ref="R46:S46"/>
    <mergeCell ref="T47:U47"/>
    <mergeCell ref="L48:M48"/>
    <mergeCell ref="T48:U48"/>
    <mergeCell ref="T49:U49"/>
    <mergeCell ref="L50:M50"/>
    <mergeCell ref="T50:U50"/>
    <mergeCell ref="L47:M47"/>
    <mergeCell ref="L49:M49"/>
    <mergeCell ref="R47:S47"/>
    <mergeCell ref="R48:S48"/>
    <mergeCell ref="R49:S49"/>
    <mergeCell ref="T55:U55"/>
    <mergeCell ref="F56:G56"/>
    <mergeCell ref="H56:I56"/>
    <mergeCell ref="J56:K56"/>
    <mergeCell ref="L56:M56"/>
    <mergeCell ref="R56:S56"/>
    <mergeCell ref="T56:U56"/>
    <mergeCell ref="T51:U51"/>
    <mergeCell ref="L52:M52"/>
    <mergeCell ref="T52:U52"/>
    <mergeCell ref="L53:M53"/>
    <mergeCell ref="T53:U53"/>
    <mergeCell ref="L54:M54"/>
    <mergeCell ref="T54:U54"/>
    <mergeCell ref="F52:G52"/>
    <mergeCell ref="H52:I52"/>
    <mergeCell ref="J52:K52"/>
    <mergeCell ref="R52:S52"/>
    <mergeCell ref="F54:G54"/>
    <mergeCell ref="H54:I54"/>
    <mergeCell ref="F53:G53"/>
    <mergeCell ref="H53:I53"/>
    <mergeCell ref="J53:K53"/>
    <mergeCell ref="R53:S53"/>
    <mergeCell ref="F58:G58"/>
    <mergeCell ref="H58:I58"/>
    <mergeCell ref="J58:K58"/>
    <mergeCell ref="L58:M58"/>
    <mergeCell ref="R58:S58"/>
    <mergeCell ref="T58:U58"/>
    <mergeCell ref="F57:G57"/>
    <mergeCell ref="H57:I57"/>
    <mergeCell ref="J57:K57"/>
    <mergeCell ref="L57:M57"/>
    <mergeCell ref="R57:S57"/>
    <mergeCell ref="T57:U57"/>
    <mergeCell ref="F60:G60"/>
    <mergeCell ref="H60:I60"/>
    <mergeCell ref="J60:K60"/>
    <mergeCell ref="L60:M60"/>
    <mergeCell ref="R60:S60"/>
    <mergeCell ref="T60:U60"/>
    <mergeCell ref="F59:G59"/>
    <mergeCell ref="H59:I59"/>
    <mergeCell ref="J59:K59"/>
    <mergeCell ref="L59:M59"/>
    <mergeCell ref="R59:S59"/>
    <mergeCell ref="T59:U59"/>
  </mergeCells>
  <phoneticPr fontId="13"/>
  <dataValidations count="1">
    <dataValidation allowBlank="1" showInputMessage="1" showErrorMessage="1" sqref="F7:J7 L7 Q9:Q60 B6:B60 J9:J60 F8:I60 L9:L60 N7:P60 R7:U60 E9:E60 C7:D60" xr:uid="{00000000-0002-0000-0000-000000000000}"/>
  </dataValidations>
  <printOptions horizontalCentered="1"/>
  <pageMargins left="0" right="0" top="0.78740157480314965" bottom="0" header="0" footer="0"/>
  <pageSetup paperSize="9" scale="140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X60"/>
  <sheetViews>
    <sheetView workbookViewId="0"/>
  </sheetViews>
  <sheetFormatPr defaultRowHeight="13.2" x14ac:dyDescent="0.2"/>
  <cols>
    <col min="1" max="1" width="2.109375" customWidth="1"/>
    <col min="2" max="21" width="4.6640625" customWidth="1"/>
  </cols>
  <sheetData>
    <row r="1" spans="2:24" x14ac:dyDescent="0.2">
      <c r="R1" s="766" t="s">
        <v>0</v>
      </c>
      <c r="S1" s="766"/>
      <c r="T1" s="766"/>
      <c r="U1" s="766"/>
    </row>
    <row r="2" spans="2:24" ht="12.75" customHeight="1" x14ac:dyDescent="0.25">
      <c r="B2" s="780" t="s">
        <v>1</v>
      </c>
      <c r="C2" s="780"/>
      <c r="D2" s="780"/>
      <c r="E2" s="780"/>
      <c r="F2" s="780"/>
      <c r="G2" s="262" t="s">
        <v>2</v>
      </c>
      <c r="H2" s="767" t="s">
        <v>24</v>
      </c>
      <c r="I2" s="767"/>
      <c r="J2" s="768"/>
      <c r="L2" s="771" t="s">
        <v>3</v>
      </c>
      <c r="M2" s="771"/>
      <c r="N2" s="772">
        <v>42980</v>
      </c>
      <c r="O2" s="772"/>
      <c r="P2" s="772"/>
      <c r="R2" s="781" t="s">
        <v>4</v>
      </c>
      <c r="S2" s="782"/>
      <c r="T2" s="773">
        <v>0.94166666666666676</v>
      </c>
      <c r="U2" s="774"/>
    </row>
    <row r="3" spans="2:24" ht="13.5" customHeight="1" x14ac:dyDescent="0.25">
      <c r="G3" s="253"/>
      <c r="H3" s="769"/>
      <c r="I3" s="769"/>
      <c r="J3" s="770"/>
      <c r="L3" s="771" t="s">
        <v>5</v>
      </c>
      <c r="M3" s="771"/>
      <c r="N3" s="775" t="s">
        <v>25</v>
      </c>
      <c r="O3" s="775"/>
      <c r="P3" s="775"/>
      <c r="R3" s="781" t="s">
        <v>6</v>
      </c>
      <c r="S3" s="782"/>
      <c r="T3" s="773">
        <v>0.99652777777777779</v>
      </c>
      <c r="U3" s="774"/>
    </row>
    <row r="4" spans="2:24" ht="13.5" customHeight="1" x14ac:dyDescent="0.2"/>
    <row r="5" spans="2:24" ht="13.5" customHeight="1" thickBot="1" x14ac:dyDescent="0.25">
      <c r="H5" s="252"/>
      <c r="I5" s="252"/>
      <c r="J5" s="252"/>
    </row>
    <row r="6" spans="2:24" ht="27" customHeight="1" x14ac:dyDescent="0.2">
      <c r="B6" s="776" t="s">
        <v>26</v>
      </c>
      <c r="C6" s="777"/>
      <c r="D6" s="777"/>
      <c r="E6" s="777"/>
      <c r="F6" s="777"/>
      <c r="G6" s="777"/>
      <c r="H6" s="777"/>
      <c r="I6" s="777"/>
      <c r="J6" s="777"/>
      <c r="K6" s="778"/>
      <c r="L6" s="777" t="s">
        <v>27</v>
      </c>
      <c r="M6" s="777"/>
      <c r="N6" s="777"/>
      <c r="O6" s="777"/>
      <c r="P6" s="777"/>
      <c r="Q6" s="777"/>
      <c r="R6" s="777"/>
      <c r="S6" s="777"/>
      <c r="T6" s="777"/>
      <c r="U6" s="779"/>
    </row>
    <row r="7" spans="2:24" x14ac:dyDescent="0.2">
      <c r="B7" s="251" t="s">
        <v>9</v>
      </c>
      <c r="C7" s="361" t="s">
        <v>10</v>
      </c>
      <c r="D7" s="223" t="s">
        <v>11</v>
      </c>
      <c r="E7" s="222" t="s">
        <v>12</v>
      </c>
      <c r="F7" s="791" t="s">
        <v>13</v>
      </c>
      <c r="G7" s="791"/>
      <c r="H7" s="792" t="s">
        <v>14</v>
      </c>
      <c r="I7" s="793"/>
      <c r="J7" s="760" t="s">
        <v>15</v>
      </c>
      <c r="K7" s="761"/>
      <c r="L7" s="794" t="s">
        <v>28</v>
      </c>
      <c r="M7" s="795"/>
      <c r="N7" s="224" t="s">
        <v>9</v>
      </c>
      <c r="O7" s="361" t="s">
        <v>10</v>
      </c>
      <c r="P7" s="223" t="s">
        <v>11</v>
      </c>
      <c r="Q7" s="222" t="s">
        <v>12</v>
      </c>
      <c r="R7" s="791" t="s">
        <v>13</v>
      </c>
      <c r="S7" s="791"/>
      <c r="T7" s="792" t="s">
        <v>14</v>
      </c>
      <c r="U7" s="798"/>
      <c r="W7" s="212" t="s">
        <v>29</v>
      </c>
      <c r="X7" t="s">
        <v>30</v>
      </c>
    </row>
    <row r="8" spans="2:24" x14ac:dyDescent="0.2">
      <c r="B8" s="250" t="s">
        <v>17</v>
      </c>
      <c r="C8" s="221" t="s">
        <v>18</v>
      </c>
      <c r="D8" s="799" t="s">
        <v>19</v>
      </c>
      <c r="E8" s="800"/>
      <c r="F8" s="801" t="s">
        <v>20</v>
      </c>
      <c r="G8" s="802"/>
      <c r="H8" s="801" t="s">
        <v>21</v>
      </c>
      <c r="I8" s="803"/>
      <c r="J8" s="762"/>
      <c r="K8" s="763"/>
      <c r="L8" s="796"/>
      <c r="M8" s="797"/>
      <c r="N8" s="220" t="s">
        <v>17</v>
      </c>
      <c r="O8" s="220" t="s">
        <v>18</v>
      </c>
      <c r="P8" s="799" t="s">
        <v>19</v>
      </c>
      <c r="Q8" s="800"/>
      <c r="R8" s="801" t="s">
        <v>20</v>
      </c>
      <c r="S8" s="802"/>
      <c r="T8" s="801" t="s">
        <v>21</v>
      </c>
      <c r="U8" s="804"/>
    </row>
    <row r="9" spans="2:24" x14ac:dyDescent="0.2">
      <c r="B9" s="249"/>
      <c r="C9" s="205" t="s">
        <v>22</v>
      </c>
      <c r="D9" s="204" t="s">
        <v>22</v>
      </c>
      <c r="E9" s="203"/>
      <c r="F9" s="783" t="s">
        <v>22</v>
      </c>
      <c r="G9" s="784"/>
      <c r="H9" s="805">
        <v>33</v>
      </c>
      <c r="I9" s="806"/>
      <c r="J9" s="786" t="s">
        <v>23</v>
      </c>
      <c r="K9" s="755"/>
      <c r="L9" s="807" t="s">
        <v>31</v>
      </c>
      <c r="M9" s="808"/>
      <c r="N9" s="205"/>
      <c r="O9" s="205"/>
      <c r="P9" s="204"/>
      <c r="Q9" s="203"/>
      <c r="R9" s="783"/>
      <c r="S9" s="784"/>
      <c r="T9" s="805">
        <v>1</v>
      </c>
      <c r="U9" s="809"/>
      <c r="W9" s="211" t="s">
        <v>29</v>
      </c>
      <c r="X9" t="s">
        <v>32</v>
      </c>
    </row>
    <row r="10" spans="2:24" x14ac:dyDescent="0.2">
      <c r="B10" s="248" t="s">
        <v>33</v>
      </c>
      <c r="C10" s="217" t="s">
        <v>34</v>
      </c>
      <c r="D10" s="219" t="s">
        <v>35</v>
      </c>
      <c r="E10" s="215" t="s">
        <v>36</v>
      </c>
      <c r="F10" s="810" t="s">
        <v>37</v>
      </c>
      <c r="G10" s="811"/>
      <c r="H10" s="742"/>
      <c r="I10" s="744"/>
      <c r="J10" s="745">
        <v>812</v>
      </c>
      <c r="K10" s="746"/>
      <c r="L10" s="812">
        <v>648</v>
      </c>
      <c r="M10" s="813"/>
      <c r="N10" s="206"/>
      <c r="O10" s="206"/>
      <c r="P10" s="363"/>
      <c r="Q10" s="365"/>
      <c r="R10" s="742"/>
      <c r="S10" s="743"/>
      <c r="T10" s="742"/>
      <c r="U10" s="748"/>
    </row>
    <row r="11" spans="2:24" x14ac:dyDescent="0.2">
      <c r="B11" s="236"/>
      <c r="C11" s="206"/>
      <c r="D11" s="363"/>
      <c r="E11" s="365"/>
      <c r="F11" s="742"/>
      <c r="G11" s="743"/>
      <c r="H11" s="742"/>
      <c r="I11" s="744"/>
      <c r="J11" s="745">
        <v>1206</v>
      </c>
      <c r="K11" s="746"/>
      <c r="L11" s="812">
        <v>254</v>
      </c>
      <c r="M11" s="813"/>
      <c r="N11" s="218" t="s">
        <v>38</v>
      </c>
      <c r="O11" s="218" t="s">
        <v>39</v>
      </c>
      <c r="P11" s="835" t="s">
        <v>40</v>
      </c>
      <c r="Q11" s="836"/>
      <c r="R11" s="814">
        <v>1206</v>
      </c>
      <c r="S11" s="815"/>
      <c r="T11" s="814">
        <v>1406</v>
      </c>
      <c r="U11" s="816"/>
      <c r="W11" s="210" t="s">
        <v>29</v>
      </c>
      <c r="X11" t="s">
        <v>41</v>
      </c>
    </row>
    <row r="12" spans="2:24" x14ac:dyDescent="0.2">
      <c r="B12" s="245" t="s">
        <v>42</v>
      </c>
      <c r="C12" s="218" t="s">
        <v>39</v>
      </c>
      <c r="D12" s="835" t="s">
        <v>43</v>
      </c>
      <c r="E12" s="836"/>
      <c r="F12" s="814">
        <v>1300</v>
      </c>
      <c r="G12" s="815"/>
      <c r="H12" s="814">
        <v>1430</v>
      </c>
      <c r="I12" s="817"/>
      <c r="J12" s="745">
        <v>1300</v>
      </c>
      <c r="K12" s="746"/>
      <c r="L12" s="812">
        <v>200</v>
      </c>
      <c r="M12" s="813"/>
      <c r="N12" s="206"/>
      <c r="O12" s="206"/>
      <c r="P12" s="363"/>
      <c r="Q12" s="365"/>
      <c r="R12" s="742"/>
      <c r="S12" s="743"/>
      <c r="T12" s="742"/>
      <c r="U12" s="748"/>
    </row>
    <row r="13" spans="2:24" ht="13.8" thickBot="1" x14ac:dyDescent="0.25">
      <c r="B13" s="244"/>
      <c r="C13" s="364"/>
      <c r="D13" s="242"/>
      <c r="E13" s="364"/>
      <c r="F13" s="818"/>
      <c r="G13" s="819"/>
      <c r="H13" s="818"/>
      <c r="I13" s="820"/>
      <c r="J13" s="789">
        <v>1430</v>
      </c>
      <c r="K13" s="790"/>
      <c r="L13" s="821">
        <v>130</v>
      </c>
      <c r="M13" s="822"/>
      <c r="N13" s="362" t="s">
        <v>44</v>
      </c>
      <c r="O13" s="362" t="s">
        <v>35</v>
      </c>
      <c r="P13" s="247" t="s">
        <v>35</v>
      </c>
      <c r="Q13" s="246" t="s">
        <v>36</v>
      </c>
      <c r="R13" s="823" t="s">
        <v>45</v>
      </c>
      <c r="S13" s="824"/>
      <c r="T13" s="818"/>
      <c r="U13" s="825"/>
      <c r="W13" t="s">
        <v>46</v>
      </c>
    </row>
    <row r="14" spans="2:24" ht="13.8" thickTop="1" x14ac:dyDescent="0.2">
      <c r="B14" s="236"/>
      <c r="C14" s="206"/>
      <c r="D14" s="235"/>
      <c r="E14" s="206"/>
      <c r="F14" s="735"/>
      <c r="G14" s="736"/>
      <c r="H14" s="805">
        <v>33</v>
      </c>
      <c r="I14" s="806"/>
      <c r="J14" s="738">
        <v>1500</v>
      </c>
      <c r="K14" s="739"/>
      <c r="L14" s="826">
        <v>1500</v>
      </c>
      <c r="M14" s="827"/>
      <c r="N14" s="206"/>
      <c r="O14" s="206"/>
      <c r="P14" s="235"/>
      <c r="Q14" s="206"/>
      <c r="R14" s="735"/>
      <c r="S14" s="736"/>
      <c r="T14" s="805">
        <v>77</v>
      </c>
      <c r="U14" s="809"/>
    </row>
    <row r="15" spans="2:24" x14ac:dyDescent="0.2">
      <c r="B15" s="245" t="s">
        <v>47</v>
      </c>
      <c r="C15" s="218" t="s">
        <v>39</v>
      </c>
      <c r="D15" s="835" t="s">
        <v>48</v>
      </c>
      <c r="E15" s="836"/>
      <c r="F15" s="814">
        <v>1633</v>
      </c>
      <c r="G15" s="815"/>
      <c r="H15" s="814">
        <v>1833</v>
      </c>
      <c r="I15" s="817"/>
      <c r="J15" s="745">
        <v>1633</v>
      </c>
      <c r="K15" s="746"/>
      <c r="L15" s="812">
        <v>1327</v>
      </c>
      <c r="M15" s="813"/>
      <c r="N15" s="218" t="s">
        <v>49</v>
      </c>
      <c r="O15" s="218" t="s">
        <v>39</v>
      </c>
      <c r="P15" s="835" t="s">
        <v>50</v>
      </c>
      <c r="Q15" s="836"/>
      <c r="R15" s="814">
        <v>1633</v>
      </c>
      <c r="S15" s="815"/>
      <c r="T15" s="814">
        <v>1833</v>
      </c>
      <c r="U15" s="816"/>
    </row>
    <row r="16" spans="2:24" x14ac:dyDescent="0.2">
      <c r="B16" s="236"/>
      <c r="C16" s="206"/>
      <c r="D16" s="363"/>
      <c r="E16" s="365"/>
      <c r="F16" s="742"/>
      <c r="G16" s="743"/>
      <c r="H16" s="742"/>
      <c r="I16" s="744"/>
      <c r="J16" s="745">
        <v>2045</v>
      </c>
      <c r="K16" s="746"/>
      <c r="L16" s="812">
        <v>915</v>
      </c>
      <c r="M16" s="813"/>
      <c r="N16" s="217" t="s">
        <v>51</v>
      </c>
      <c r="O16" s="217" t="s">
        <v>52</v>
      </c>
      <c r="P16" s="216">
        <v>15</v>
      </c>
      <c r="Q16" s="215" t="s">
        <v>53</v>
      </c>
      <c r="R16" s="810" t="s">
        <v>37</v>
      </c>
      <c r="S16" s="811"/>
      <c r="T16" s="742"/>
      <c r="U16" s="748"/>
    </row>
    <row r="17" spans="2:21" x14ac:dyDescent="0.2">
      <c r="B17" s="236" t="s">
        <v>54</v>
      </c>
      <c r="C17" s="206" t="s">
        <v>35</v>
      </c>
      <c r="D17" s="828" t="s">
        <v>55</v>
      </c>
      <c r="E17" s="829"/>
      <c r="F17" s="742" t="s">
        <v>35</v>
      </c>
      <c r="G17" s="743"/>
      <c r="H17" s="742" t="s">
        <v>35</v>
      </c>
      <c r="I17" s="744"/>
      <c r="J17" s="745">
        <v>2305</v>
      </c>
      <c r="K17" s="746"/>
      <c r="L17" s="812">
        <v>655</v>
      </c>
      <c r="M17" s="813"/>
      <c r="N17" s="206" t="s">
        <v>44</v>
      </c>
      <c r="O17" s="206" t="s">
        <v>35</v>
      </c>
      <c r="P17" s="363" t="s">
        <v>35</v>
      </c>
      <c r="Q17" s="213" t="s">
        <v>56</v>
      </c>
      <c r="R17" s="742"/>
      <c r="S17" s="743"/>
      <c r="T17" s="742"/>
      <c r="U17" s="748"/>
    </row>
    <row r="18" spans="2:21" x14ac:dyDescent="0.2">
      <c r="B18" s="236"/>
      <c r="C18" s="206"/>
      <c r="D18" s="363"/>
      <c r="E18" s="365"/>
      <c r="F18" s="742"/>
      <c r="G18" s="743"/>
      <c r="H18" s="742"/>
      <c r="I18" s="744"/>
      <c r="J18" s="745">
        <v>2500</v>
      </c>
      <c r="K18" s="746"/>
      <c r="L18" s="812">
        <v>500</v>
      </c>
      <c r="M18" s="813"/>
      <c r="N18" s="206" t="s">
        <v>57</v>
      </c>
      <c r="O18" s="206" t="s">
        <v>39</v>
      </c>
      <c r="P18" s="828" t="s">
        <v>58</v>
      </c>
      <c r="Q18" s="829"/>
      <c r="R18" s="742">
        <v>2500</v>
      </c>
      <c r="S18" s="743"/>
      <c r="T18" s="742">
        <v>2550</v>
      </c>
      <c r="U18" s="748"/>
    </row>
    <row r="19" spans="2:21" x14ac:dyDescent="0.2">
      <c r="B19" s="236"/>
      <c r="C19" s="206"/>
      <c r="D19" s="363"/>
      <c r="E19" s="365"/>
      <c r="F19" s="742"/>
      <c r="G19" s="743"/>
      <c r="H19" s="742"/>
      <c r="I19" s="744"/>
      <c r="J19" s="745"/>
      <c r="K19" s="746"/>
      <c r="L19" s="812"/>
      <c r="M19" s="813"/>
      <c r="N19" s="206" t="s">
        <v>57</v>
      </c>
      <c r="O19" s="206" t="s">
        <v>59</v>
      </c>
      <c r="P19" s="828" t="s">
        <v>60</v>
      </c>
      <c r="Q19" s="829"/>
      <c r="R19" s="742">
        <v>2550</v>
      </c>
      <c r="S19" s="743"/>
      <c r="T19" s="742">
        <v>3550</v>
      </c>
      <c r="U19" s="748"/>
    </row>
    <row r="20" spans="2:21" x14ac:dyDescent="0.2">
      <c r="B20" s="236" t="s">
        <v>44</v>
      </c>
      <c r="C20" s="206" t="s">
        <v>61</v>
      </c>
      <c r="D20" s="214">
        <v>19</v>
      </c>
      <c r="E20" s="213" t="s">
        <v>53</v>
      </c>
      <c r="F20" s="838" t="s">
        <v>45</v>
      </c>
      <c r="G20" s="839"/>
      <c r="H20" s="742"/>
      <c r="I20" s="744"/>
      <c r="J20" s="745">
        <v>2550</v>
      </c>
      <c r="K20" s="746"/>
      <c r="L20" s="812">
        <v>410</v>
      </c>
      <c r="M20" s="813"/>
      <c r="N20" s="206"/>
      <c r="O20" s="206"/>
      <c r="P20" s="363"/>
      <c r="Q20" s="365"/>
      <c r="R20" s="742"/>
      <c r="S20" s="743"/>
      <c r="T20" s="742"/>
      <c r="U20" s="748"/>
    </row>
    <row r="21" spans="2:21" x14ac:dyDescent="0.2">
      <c r="B21" s="236" t="s">
        <v>59</v>
      </c>
      <c r="C21" s="206" t="s">
        <v>39</v>
      </c>
      <c r="D21" s="828" t="s">
        <v>62</v>
      </c>
      <c r="E21" s="829"/>
      <c r="F21" s="742">
        <v>2800</v>
      </c>
      <c r="G21" s="743"/>
      <c r="H21" s="742">
        <v>3000</v>
      </c>
      <c r="I21" s="744"/>
      <c r="J21" s="745">
        <v>2800</v>
      </c>
      <c r="K21" s="746"/>
      <c r="L21" s="812">
        <v>200</v>
      </c>
      <c r="M21" s="813"/>
      <c r="N21" s="206" t="s">
        <v>42</v>
      </c>
      <c r="O21" s="206" t="s">
        <v>39</v>
      </c>
      <c r="P21" s="828" t="s">
        <v>62</v>
      </c>
      <c r="Q21" s="829"/>
      <c r="R21" s="742">
        <v>2800</v>
      </c>
      <c r="S21" s="743"/>
      <c r="T21" s="742">
        <v>2920</v>
      </c>
      <c r="U21" s="748"/>
    </row>
    <row r="22" spans="2:21" x14ac:dyDescent="0.2">
      <c r="B22" s="236" t="s">
        <v>63</v>
      </c>
      <c r="C22" s="206" t="s">
        <v>39</v>
      </c>
      <c r="D22" s="828" t="s">
        <v>62</v>
      </c>
      <c r="E22" s="829"/>
      <c r="F22" s="742">
        <v>2800</v>
      </c>
      <c r="G22" s="743"/>
      <c r="H22" s="742">
        <v>3000</v>
      </c>
      <c r="I22" s="744"/>
      <c r="J22" s="745"/>
      <c r="K22" s="746"/>
      <c r="L22" s="812"/>
      <c r="M22" s="813"/>
      <c r="N22" s="206" t="s">
        <v>64</v>
      </c>
      <c r="O22" s="206" t="s">
        <v>39</v>
      </c>
      <c r="P22" s="828" t="s">
        <v>62</v>
      </c>
      <c r="Q22" s="829"/>
      <c r="R22" s="742">
        <v>2800</v>
      </c>
      <c r="S22" s="743"/>
      <c r="T22" s="742">
        <v>3000</v>
      </c>
      <c r="U22" s="748"/>
    </row>
    <row r="23" spans="2:21" x14ac:dyDescent="0.2">
      <c r="B23" s="236"/>
      <c r="C23" s="206"/>
      <c r="D23" s="363"/>
      <c r="E23" s="365"/>
      <c r="F23" s="742"/>
      <c r="G23" s="743"/>
      <c r="H23" s="742"/>
      <c r="I23" s="744"/>
      <c r="J23" s="745"/>
      <c r="K23" s="746"/>
      <c r="L23" s="812"/>
      <c r="M23" s="813"/>
      <c r="N23" s="206" t="s">
        <v>65</v>
      </c>
      <c r="O23" s="206" t="s">
        <v>39</v>
      </c>
      <c r="P23" s="828" t="s">
        <v>62</v>
      </c>
      <c r="Q23" s="829"/>
      <c r="R23" s="742">
        <v>2800</v>
      </c>
      <c r="S23" s="743"/>
      <c r="T23" s="742">
        <v>3000</v>
      </c>
      <c r="U23" s="748"/>
    </row>
    <row r="24" spans="2:21" ht="13.8" thickBot="1" x14ac:dyDescent="0.25">
      <c r="B24" s="244" t="s">
        <v>61</v>
      </c>
      <c r="C24" s="364" t="s">
        <v>44</v>
      </c>
      <c r="D24" s="242" t="s">
        <v>35</v>
      </c>
      <c r="E24" s="243" t="s">
        <v>56</v>
      </c>
      <c r="F24" s="830" t="s">
        <v>45</v>
      </c>
      <c r="G24" s="831"/>
      <c r="H24" s="818"/>
      <c r="I24" s="820"/>
      <c r="J24" s="789">
        <v>2920</v>
      </c>
      <c r="K24" s="790"/>
      <c r="L24" s="821">
        <v>40</v>
      </c>
      <c r="M24" s="822"/>
      <c r="N24" s="364"/>
      <c r="O24" s="364"/>
      <c r="P24" s="242"/>
      <c r="Q24" s="364"/>
      <c r="R24" s="818"/>
      <c r="S24" s="819"/>
      <c r="T24" s="818"/>
      <c r="U24" s="825"/>
    </row>
    <row r="25" spans="2:21" ht="13.8" thickTop="1" x14ac:dyDescent="0.2">
      <c r="B25" s="236"/>
      <c r="C25" s="206"/>
      <c r="D25" s="235"/>
      <c r="E25" s="206"/>
      <c r="F25" s="735"/>
      <c r="G25" s="736"/>
      <c r="H25" s="735"/>
      <c r="I25" s="837"/>
      <c r="J25" s="738">
        <v>4000</v>
      </c>
      <c r="K25" s="739"/>
      <c r="L25" s="826">
        <v>500</v>
      </c>
      <c r="M25" s="827"/>
      <c r="N25" s="206" t="s">
        <v>44</v>
      </c>
      <c r="O25" s="206" t="s">
        <v>35</v>
      </c>
      <c r="P25" s="235" t="s">
        <v>35</v>
      </c>
      <c r="Q25" s="241" t="s">
        <v>66</v>
      </c>
      <c r="R25" s="735" t="s">
        <v>37</v>
      </c>
      <c r="S25" s="736"/>
      <c r="T25" s="735"/>
      <c r="U25" s="741"/>
    </row>
    <row r="26" spans="2:21" x14ac:dyDescent="0.2">
      <c r="B26" s="236"/>
      <c r="C26" s="206"/>
      <c r="D26" s="363"/>
      <c r="E26" s="365"/>
      <c r="F26" s="742"/>
      <c r="G26" s="743"/>
      <c r="H26" s="742" t="s">
        <v>35</v>
      </c>
      <c r="I26" s="744"/>
      <c r="J26" s="745">
        <v>4420</v>
      </c>
      <c r="K26" s="746"/>
      <c r="L26" s="812">
        <v>40</v>
      </c>
      <c r="M26" s="813"/>
      <c r="N26" s="206"/>
      <c r="O26" s="206"/>
      <c r="P26" s="363"/>
      <c r="Q26" s="365"/>
      <c r="R26" s="742"/>
      <c r="S26" s="743"/>
      <c r="T26" s="832">
        <v>77</v>
      </c>
      <c r="U26" s="833"/>
    </row>
    <row r="27" spans="2:21" x14ac:dyDescent="0.2">
      <c r="B27" s="236"/>
      <c r="C27" s="206"/>
      <c r="D27" s="363"/>
      <c r="E27" s="365"/>
      <c r="F27" s="742"/>
      <c r="G27" s="743"/>
      <c r="H27" s="832" t="s">
        <v>67</v>
      </c>
      <c r="I27" s="834"/>
      <c r="J27" s="745">
        <v>4444</v>
      </c>
      <c r="K27" s="746"/>
      <c r="L27" s="812">
        <v>16</v>
      </c>
      <c r="M27" s="813"/>
      <c r="N27" s="206" t="s">
        <v>44</v>
      </c>
      <c r="O27" s="206" t="s">
        <v>61</v>
      </c>
      <c r="P27" s="214">
        <v>19</v>
      </c>
      <c r="Q27" s="213" t="s">
        <v>68</v>
      </c>
      <c r="R27" s="742" t="s">
        <v>69</v>
      </c>
      <c r="S27" s="743"/>
      <c r="T27" s="832">
        <v>77</v>
      </c>
      <c r="U27" s="833"/>
    </row>
    <row r="28" spans="2:21" x14ac:dyDescent="0.2">
      <c r="B28" s="236" t="s">
        <v>42</v>
      </c>
      <c r="C28" s="206" t="s">
        <v>39</v>
      </c>
      <c r="D28" s="828" t="s">
        <v>62</v>
      </c>
      <c r="E28" s="829"/>
      <c r="F28" s="742">
        <v>4450</v>
      </c>
      <c r="G28" s="743"/>
      <c r="H28" s="742">
        <v>4500</v>
      </c>
      <c r="I28" s="744"/>
      <c r="J28" s="745">
        <v>4450</v>
      </c>
      <c r="K28" s="746"/>
      <c r="L28" s="812">
        <v>10</v>
      </c>
      <c r="M28" s="813"/>
      <c r="N28" s="206"/>
      <c r="O28" s="206"/>
      <c r="P28" s="363"/>
      <c r="Q28" s="365"/>
      <c r="R28" s="742"/>
      <c r="S28" s="743"/>
      <c r="T28" s="742"/>
      <c r="U28" s="748"/>
    </row>
    <row r="29" spans="2:21" x14ac:dyDescent="0.2">
      <c r="B29" s="236"/>
      <c r="C29" s="206"/>
      <c r="D29" s="363"/>
      <c r="E29" s="365"/>
      <c r="F29" s="742"/>
      <c r="G29" s="743"/>
      <c r="H29" s="742" t="s">
        <v>35</v>
      </c>
      <c r="I29" s="744"/>
      <c r="J29" s="745">
        <v>4500</v>
      </c>
      <c r="K29" s="746"/>
      <c r="L29" s="812">
        <v>0</v>
      </c>
      <c r="M29" s="813"/>
      <c r="N29" s="206"/>
      <c r="O29" s="206"/>
      <c r="P29" s="363"/>
      <c r="Q29" s="365"/>
      <c r="R29" s="742"/>
      <c r="S29" s="743"/>
      <c r="T29" s="742" t="s">
        <v>35</v>
      </c>
      <c r="U29" s="748"/>
    </row>
    <row r="30" spans="2:21" x14ac:dyDescent="0.2">
      <c r="B30" s="236"/>
      <c r="C30" s="206"/>
      <c r="D30" s="363"/>
      <c r="E30" s="365"/>
      <c r="F30" s="742"/>
      <c r="G30" s="743"/>
      <c r="H30" s="742"/>
      <c r="I30" s="744"/>
      <c r="J30" s="745"/>
      <c r="K30" s="746"/>
      <c r="L30" s="746"/>
      <c r="M30" s="747"/>
      <c r="N30" s="206"/>
      <c r="O30" s="206"/>
      <c r="P30" s="363"/>
      <c r="Q30" s="365"/>
      <c r="R30" s="742"/>
      <c r="S30" s="743"/>
      <c r="T30" s="742"/>
      <c r="U30" s="748"/>
    </row>
    <row r="31" spans="2:21" x14ac:dyDescent="0.2">
      <c r="B31" s="236"/>
      <c r="C31" s="206"/>
      <c r="D31" s="363"/>
      <c r="E31" s="365"/>
      <c r="F31" s="742"/>
      <c r="G31" s="743"/>
      <c r="H31" s="742"/>
      <c r="I31" s="744"/>
      <c r="J31" s="745"/>
      <c r="K31" s="746"/>
      <c r="L31" s="746"/>
      <c r="M31" s="747"/>
      <c r="N31" s="206"/>
      <c r="O31" s="206"/>
      <c r="P31" s="363"/>
      <c r="Q31" s="365"/>
      <c r="R31" s="742"/>
      <c r="S31" s="743"/>
      <c r="T31" s="742"/>
      <c r="U31" s="748"/>
    </row>
    <row r="32" spans="2:21" x14ac:dyDescent="0.2">
      <c r="B32" s="236"/>
      <c r="C32" s="206"/>
      <c r="D32" s="363"/>
      <c r="E32" s="365"/>
      <c r="F32" s="742"/>
      <c r="G32" s="743"/>
      <c r="H32" s="742"/>
      <c r="I32" s="744"/>
      <c r="J32" s="745"/>
      <c r="K32" s="746"/>
      <c r="L32" s="746"/>
      <c r="M32" s="747"/>
      <c r="N32" s="206"/>
      <c r="O32" s="206"/>
      <c r="P32" s="363"/>
      <c r="Q32" s="365"/>
      <c r="R32" s="742"/>
      <c r="S32" s="743"/>
      <c r="T32" s="742"/>
      <c r="U32" s="748"/>
    </row>
    <row r="33" spans="2:21" x14ac:dyDescent="0.2">
      <c r="B33" s="236"/>
      <c r="C33" s="206"/>
      <c r="D33" s="363"/>
      <c r="E33" s="365"/>
      <c r="F33" s="742"/>
      <c r="G33" s="743"/>
      <c r="H33" s="742"/>
      <c r="I33" s="744"/>
      <c r="J33" s="745"/>
      <c r="K33" s="746"/>
      <c r="L33" s="746"/>
      <c r="M33" s="747"/>
      <c r="N33" s="206"/>
      <c r="O33" s="206"/>
      <c r="P33" s="363"/>
      <c r="Q33" s="365"/>
      <c r="R33" s="742"/>
      <c r="S33" s="743"/>
      <c r="T33" s="742"/>
      <c r="U33" s="748"/>
    </row>
    <row r="34" spans="2:21" x14ac:dyDescent="0.2">
      <c r="B34" s="236"/>
      <c r="C34" s="206"/>
      <c r="D34" s="363"/>
      <c r="E34" s="365"/>
      <c r="F34" s="742"/>
      <c r="G34" s="743"/>
      <c r="H34" s="742"/>
      <c r="I34" s="744"/>
      <c r="J34" s="745"/>
      <c r="K34" s="746"/>
      <c r="L34" s="746"/>
      <c r="M34" s="747"/>
      <c r="N34" s="206"/>
      <c r="O34" s="206"/>
      <c r="P34" s="363"/>
      <c r="Q34" s="365"/>
      <c r="R34" s="742"/>
      <c r="S34" s="743"/>
      <c r="T34" s="742"/>
      <c r="U34" s="748"/>
    </row>
    <row r="35" spans="2:21" x14ac:dyDescent="0.2">
      <c r="B35" s="236"/>
      <c r="C35" s="206"/>
      <c r="D35" s="363"/>
      <c r="E35" s="365"/>
      <c r="F35" s="742"/>
      <c r="G35" s="743"/>
      <c r="H35" s="742"/>
      <c r="I35" s="744"/>
      <c r="J35" s="745"/>
      <c r="K35" s="746"/>
      <c r="L35" s="746"/>
      <c r="M35" s="747"/>
      <c r="N35" s="206"/>
      <c r="O35" s="206"/>
      <c r="P35" s="363"/>
      <c r="Q35" s="365"/>
      <c r="R35" s="742"/>
      <c r="S35" s="743"/>
      <c r="T35" s="742"/>
      <c r="U35" s="748"/>
    </row>
    <row r="36" spans="2:21" x14ac:dyDescent="0.2">
      <c r="B36" s="236"/>
      <c r="C36" s="206"/>
      <c r="D36" s="363"/>
      <c r="E36" s="365"/>
      <c r="F36" s="742"/>
      <c r="G36" s="743"/>
      <c r="H36" s="742"/>
      <c r="I36" s="744"/>
      <c r="J36" s="745"/>
      <c r="K36" s="746"/>
      <c r="L36" s="746"/>
      <c r="M36" s="747"/>
      <c r="N36" s="206"/>
      <c r="O36" s="206"/>
      <c r="P36" s="363"/>
      <c r="Q36" s="365"/>
      <c r="R36" s="742"/>
      <c r="S36" s="743"/>
      <c r="T36" s="742"/>
      <c r="U36" s="748"/>
    </row>
    <row r="37" spans="2:21" x14ac:dyDescent="0.2">
      <c r="B37" s="236"/>
      <c r="C37" s="206"/>
      <c r="D37" s="363"/>
      <c r="E37" s="365"/>
      <c r="F37" s="742"/>
      <c r="G37" s="743"/>
      <c r="H37" s="742"/>
      <c r="I37" s="744"/>
      <c r="J37" s="745"/>
      <c r="K37" s="746"/>
      <c r="L37" s="746"/>
      <c r="M37" s="747"/>
      <c r="N37" s="206"/>
      <c r="O37" s="206"/>
      <c r="P37" s="363"/>
      <c r="Q37" s="365"/>
      <c r="R37" s="742"/>
      <c r="S37" s="743"/>
      <c r="T37" s="742"/>
      <c r="U37" s="748"/>
    </row>
    <row r="38" spans="2:21" x14ac:dyDescent="0.2">
      <c r="B38" s="236"/>
      <c r="C38" s="206"/>
      <c r="D38" s="363"/>
      <c r="E38" s="365"/>
      <c r="F38" s="742"/>
      <c r="G38" s="743"/>
      <c r="H38" s="742"/>
      <c r="I38" s="744"/>
      <c r="J38" s="745"/>
      <c r="K38" s="746"/>
      <c r="L38" s="746"/>
      <c r="M38" s="747"/>
      <c r="N38" s="206"/>
      <c r="O38" s="206"/>
      <c r="P38" s="363"/>
      <c r="Q38" s="365"/>
      <c r="R38" s="742"/>
      <c r="S38" s="743"/>
      <c r="T38" s="742"/>
      <c r="U38" s="748"/>
    </row>
    <row r="39" spans="2:21" x14ac:dyDescent="0.2">
      <c r="B39" s="236"/>
      <c r="C39" s="206"/>
      <c r="D39" s="363"/>
      <c r="E39" s="365"/>
      <c r="F39" s="742"/>
      <c r="G39" s="743"/>
      <c r="H39" s="742"/>
      <c r="I39" s="744"/>
      <c r="J39" s="745"/>
      <c r="K39" s="746"/>
      <c r="L39" s="746"/>
      <c r="M39" s="747"/>
      <c r="N39" s="206"/>
      <c r="O39" s="206"/>
      <c r="P39" s="363"/>
      <c r="Q39" s="365"/>
      <c r="R39" s="742"/>
      <c r="S39" s="743"/>
      <c r="T39" s="742"/>
      <c r="U39" s="748"/>
    </row>
    <row r="40" spans="2:21" x14ac:dyDescent="0.2">
      <c r="B40" s="236"/>
      <c r="C40" s="206"/>
      <c r="D40" s="363"/>
      <c r="E40" s="365"/>
      <c r="F40" s="742"/>
      <c r="G40" s="743"/>
      <c r="H40" s="742"/>
      <c r="I40" s="744"/>
      <c r="J40" s="745"/>
      <c r="K40" s="746"/>
      <c r="L40" s="746"/>
      <c r="M40" s="747"/>
      <c r="N40" s="206"/>
      <c r="O40" s="206"/>
      <c r="P40" s="363"/>
      <c r="Q40" s="365"/>
      <c r="R40" s="742"/>
      <c r="S40" s="743"/>
      <c r="T40" s="742"/>
      <c r="U40" s="748"/>
    </row>
    <row r="41" spans="2:21" x14ac:dyDescent="0.2">
      <c r="B41" s="236"/>
      <c r="C41" s="206"/>
      <c r="D41" s="363"/>
      <c r="E41" s="365"/>
      <c r="F41" s="742"/>
      <c r="G41" s="743"/>
      <c r="H41" s="742"/>
      <c r="I41" s="744"/>
      <c r="J41" s="745"/>
      <c r="K41" s="746"/>
      <c r="L41" s="746"/>
      <c r="M41" s="747"/>
      <c r="N41" s="206"/>
      <c r="O41" s="206"/>
      <c r="P41" s="363"/>
      <c r="Q41" s="365"/>
      <c r="R41" s="742"/>
      <c r="S41" s="743"/>
      <c r="T41" s="742"/>
      <c r="U41" s="748"/>
    </row>
    <row r="42" spans="2:21" x14ac:dyDescent="0.2">
      <c r="B42" s="236"/>
      <c r="C42" s="206"/>
      <c r="D42" s="363"/>
      <c r="E42" s="365"/>
      <c r="F42" s="742"/>
      <c r="G42" s="743"/>
      <c r="H42" s="742"/>
      <c r="I42" s="744"/>
      <c r="J42" s="745"/>
      <c r="K42" s="746"/>
      <c r="L42" s="746"/>
      <c r="M42" s="747"/>
      <c r="N42" s="206"/>
      <c r="O42" s="206"/>
      <c r="P42" s="363"/>
      <c r="Q42" s="365"/>
      <c r="R42" s="742"/>
      <c r="S42" s="743"/>
      <c r="T42" s="742"/>
      <c r="U42" s="748"/>
    </row>
    <row r="43" spans="2:21" x14ac:dyDescent="0.2">
      <c r="B43" s="236"/>
      <c r="C43" s="212" t="s">
        <v>29</v>
      </c>
      <c r="D43" t="s">
        <v>30</v>
      </c>
      <c r="E43" s="365"/>
      <c r="F43" s="208"/>
      <c r="G43" s="209"/>
      <c r="H43" s="208"/>
      <c r="I43" s="207"/>
      <c r="J43" s="240"/>
      <c r="K43" s="239"/>
      <c r="L43" s="239"/>
      <c r="M43" s="238"/>
      <c r="N43" s="206"/>
      <c r="O43" s="206"/>
      <c r="P43" s="363"/>
      <c r="Q43" s="365"/>
      <c r="R43" s="208"/>
      <c r="S43" s="209"/>
      <c r="T43" s="742"/>
      <c r="U43" s="748"/>
    </row>
    <row r="44" spans="2:21" x14ac:dyDescent="0.2">
      <c r="B44" s="236"/>
      <c r="E44" s="365"/>
      <c r="F44" s="742"/>
      <c r="G44" s="743"/>
      <c r="H44" s="742"/>
      <c r="I44" s="744"/>
      <c r="J44" s="745"/>
      <c r="K44" s="746"/>
      <c r="L44" s="746"/>
      <c r="M44" s="747"/>
      <c r="N44" s="206"/>
      <c r="O44" s="206"/>
      <c r="P44" s="363"/>
      <c r="Q44" s="365"/>
      <c r="R44" s="742"/>
      <c r="S44" s="743"/>
      <c r="T44" s="742"/>
      <c r="U44" s="748"/>
    </row>
    <row r="45" spans="2:21" x14ac:dyDescent="0.2">
      <c r="B45" s="236"/>
      <c r="C45" s="211" t="s">
        <v>29</v>
      </c>
      <c r="D45" t="s">
        <v>32</v>
      </c>
      <c r="E45" s="365"/>
      <c r="F45" s="208"/>
      <c r="G45" s="209"/>
      <c r="H45" s="208"/>
      <c r="I45" s="207"/>
      <c r="J45" s="240"/>
      <c r="K45" s="239"/>
      <c r="L45" s="239"/>
      <c r="M45" s="238"/>
      <c r="N45" s="206"/>
      <c r="O45" s="206"/>
      <c r="P45" s="363"/>
      <c r="Q45" s="365"/>
      <c r="R45" s="742"/>
      <c r="S45" s="743"/>
      <c r="T45" s="742"/>
      <c r="U45" s="748"/>
    </row>
    <row r="46" spans="2:21" x14ac:dyDescent="0.2">
      <c r="B46" s="236"/>
      <c r="E46" s="365"/>
      <c r="F46" s="742"/>
      <c r="G46" s="743"/>
      <c r="H46" s="742"/>
      <c r="I46" s="744"/>
      <c r="J46" s="745"/>
      <c r="K46" s="746"/>
      <c r="L46" s="746"/>
      <c r="M46" s="747"/>
      <c r="N46" s="206"/>
      <c r="O46" s="206"/>
      <c r="P46" s="363"/>
      <c r="Q46" s="365"/>
      <c r="R46" s="742"/>
      <c r="S46" s="743"/>
      <c r="T46" s="742"/>
      <c r="U46" s="748"/>
    </row>
    <row r="47" spans="2:21" x14ac:dyDescent="0.2">
      <c r="B47" s="237"/>
      <c r="C47" s="210" t="s">
        <v>29</v>
      </c>
      <c r="D47" t="s">
        <v>41</v>
      </c>
      <c r="E47" s="365"/>
      <c r="F47" s="208"/>
      <c r="G47" s="209"/>
      <c r="H47" s="208"/>
      <c r="I47" s="207"/>
      <c r="J47" s="240"/>
      <c r="K47" s="239"/>
      <c r="L47" s="239"/>
      <c r="M47" s="238"/>
      <c r="N47" s="365"/>
      <c r="O47" s="365"/>
      <c r="P47" s="363"/>
      <c r="Q47" s="365"/>
      <c r="R47" s="742"/>
      <c r="S47" s="743"/>
      <c r="T47" s="742"/>
      <c r="U47" s="748"/>
    </row>
    <row r="48" spans="2:21" x14ac:dyDescent="0.2">
      <c r="B48" s="236"/>
      <c r="E48" s="365"/>
      <c r="F48" s="742"/>
      <c r="G48" s="743"/>
      <c r="H48" s="742"/>
      <c r="I48" s="744"/>
      <c r="J48" s="745"/>
      <c r="K48" s="746"/>
      <c r="L48" s="746"/>
      <c r="M48" s="747"/>
      <c r="N48" s="206"/>
      <c r="O48" s="206"/>
      <c r="P48" s="363"/>
      <c r="Q48" s="365"/>
      <c r="R48" s="742"/>
      <c r="S48" s="743"/>
      <c r="T48" s="742"/>
      <c r="U48" s="748"/>
    </row>
    <row r="49" spans="2:21" x14ac:dyDescent="0.2">
      <c r="B49" s="236"/>
      <c r="C49" t="s">
        <v>46</v>
      </c>
      <c r="E49" s="365"/>
      <c r="F49" s="208"/>
      <c r="G49" s="209"/>
      <c r="H49" s="208"/>
      <c r="I49" s="207"/>
      <c r="J49" s="240"/>
      <c r="K49" s="239"/>
      <c r="L49" s="239"/>
      <c r="M49" s="238"/>
      <c r="N49" s="206"/>
      <c r="O49" s="206"/>
      <c r="P49" s="363"/>
      <c r="Q49" s="365"/>
      <c r="R49" s="742"/>
      <c r="S49" s="743"/>
      <c r="T49" s="742"/>
      <c r="U49" s="748"/>
    </row>
    <row r="50" spans="2:21" x14ac:dyDescent="0.2">
      <c r="B50" s="236"/>
      <c r="C50" s="206"/>
      <c r="D50" s="363"/>
      <c r="E50" s="365"/>
      <c r="F50" s="742"/>
      <c r="G50" s="743"/>
      <c r="H50" s="742"/>
      <c r="I50" s="744"/>
      <c r="J50" s="745"/>
      <c r="K50" s="746"/>
      <c r="L50" s="746"/>
      <c r="M50" s="747"/>
      <c r="N50" s="206"/>
      <c r="O50" s="206"/>
      <c r="P50" s="363"/>
      <c r="Q50" s="365"/>
      <c r="R50" s="742"/>
      <c r="S50" s="743"/>
      <c r="T50" s="742"/>
      <c r="U50" s="748"/>
    </row>
    <row r="51" spans="2:21" x14ac:dyDescent="0.2">
      <c r="B51" s="236"/>
      <c r="C51" s="206"/>
      <c r="D51" s="363"/>
      <c r="E51" s="365"/>
      <c r="F51" s="742"/>
      <c r="G51" s="743"/>
      <c r="H51" s="742"/>
      <c r="I51" s="744"/>
      <c r="J51" s="745"/>
      <c r="K51" s="746"/>
      <c r="L51" s="746"/>
      <c r="M51" s="747"/>
      <c r="N51" s="206"/>
      <c r="O51" s="206"/>
      <c r="P51" s="363"/>
      <c r="Q51" s="365"/>
      <c r="R51" s="742"/>
      <c r="S51" s="743"/>
      <c r="T51" s="742"/>
      <c r="U51" s="748"/>
    </row>
    <row r="52" spans="2:21" x14ac:dyDescent="0.2">
      <c r="B52" s="236"/>
      <c r="C52" s="206"/>
      <c r="D52" s="363"/>
      <c r="E52" s="365"/>
      <c r="F52" s="742"/>
      <c r="G52" s="743"/>
      <c r="H52" s="742"/>
      <c r="I52" s="744"/>
      <c r="J52" s="745"/>
      <c r="K52" s="746"/>
      <c r="L52" s="746"/>
      <c r="M52" s="747"/>
      <c r="N52" s="206"/>
      <c r="O52" s="206"/>
      <c r="P52" s="363"/>
      <c r="Q52" s="365"/>
      <c r="R52" s="742"/>
      <c r="S52" s="743"/>
      <c r="T52" s="742"/>
      <c r="U52" s="748"/>
    </row>
    <row r="53" spans="2:21" x14ac:dyDescent="0.2">
      <c r="B53" s="236"/>
      <c r="C53" s="206"/>
      <c r="D53" s="363"/>
      <c r="E53" s="365"/>
      <c r="F53" s="742"/>
      <c r="G53" s="743"/>
      <c r="H53" s="742"/>
      <c r="I53" s="744"/>
      <c r="J53" s="745"/>
      <c r="K53" s="746"/>
      <c r="L53" s="746"/>
      <c r="M53" s="747"/>
      <c r="N53" s="206"/>
      <c r="O53" s="206"/>
      <c r="P53" s="363"/>
      <c r="Q53" s="365"/>
      <c r="R53" s="742"/>
      <c r="S53" s="743"/>
      <c r="T53" s="742"/>
      <c r="U53" s="748"/>
    </row>
    <row r="54" spans="2:21" x14ac:dyDescent="0.2">
      <c r="B54" s="236"/>
      <c r="C54" s="206"/>
      <c r="D54" s="363"/>
      <c r="E54" s="365"/>
      <c r="F54" s="742"/>
      <c r="G54" s="743"/>
      <c r="H54" s="742"/>
      <c r="I54" s="744"/>
      <c r="J54" s="745"/>
      <c r="K54" s="746"/>
      <c r="L54" s="746"/>
      <c r="M54" s="747"/>
      <c r="N54" s="206"/>
      <c r="O54" s="206"/>
      <c r="P54" s="363"/>
      <c r="Q54" s="365"/>
      <c r="R54" s="742"/>
      <c r="S54" s="743"/>
      <c r="T54" s="742"/>
      <c r="U54" s="748"/>
    </row>
    <row r="55" spans="2:21" x14ac:dyDescent="0.2">
      <c r="B55" s="237"/>
      <c r="C55" s="365"/>
      <c r="D55" s="363"/>
      <c r="E55" s="365"/>
      <c r="F55" s="742"/>
      <c r="G55" s="743"/>
      <c r="H55" s="742"/>
      <c r="I55" s="744"/>
      <c r="J55" s="745"/>
      <c r="K55" s="746"/>
      <c r="L55" s="746"/>
      <c r="M55" s="747"/>
      <c r="N55" s="365"/>
      <c r="O55" s="365"/>
      <c r="P55" s="363"/>
      <c r="Q55" s="365"/>
      <c r="R55" s="742"/>
      <c r="S55" s="743"/>
      <c r="T55" s="742"/>
      <c r="U55" s="748"/>
    </row>
    <row r="56" spans="2:21" x14ac:dyDescent="0.2">
      <c r="B56" s="237"/>
      <c r="C56" s="365"/>
      <c r="D56" s="363"/>
      <c r="E56" s="365"/>
      <c r="F56" s="742"/>
      <c r="G56" s="743"/>
      <c r="H56" s="742"/>
      <c r="I56" s="744"/>
      <c r="J56" s="745"/>
      <c r="K56" s="746"/>
      <c r="L56" s="746"/>
      <c r="M56" s="747"/>
      <c r="N56" s="365"/>
      <c r="O56" s="365"/>
      <c r="P56" s="363"/>
      <c r="Q56" s="365"/>
      <c r="R56" s="742"/>
      <c r="S56" s="743"/>
      <c r="T56" s="742"/>
      <c r="U56" s="748"/>
    </row>
    <row r="57" spans="2:21" x14ac:dyDescent="0.2">
      <c r="B57" s="236"/>
      <c r="C57" s="206"/>
      <c r="D57" s="363"/>
      <c r="E57" s="365"/>
      <c r="F57" s="742"/>
      <c r="G57" s="743"/>
      <c r="H57" s="742"/>
      <c r="I57" s="744"/>
      <c r="J57" s="745"/>
      <c r="K57" s="746"/>
      <c r="L57" s="746"/>
      <c r="M57" s="747"/>
      <c r="N57" s="206"/>
      <c r="O57" s="206"/>
      <c r="P57" s="363"/>
      <c r="Q57" s="365"/>
      <c r="R57" s="742"/>
      <c r="S57" s="743"/>
      <c r="T57" s="742"/>
      <c r="U57" s="748"/>
    </row>
    <row r="58" spans="2:21" x14ac:dyDescent="0.2">
      <c r="B58" s="237"/>
      <c r="C58" s="365"/>
      <c r="D58" s="363"/>
      <c r="E58" s="365"/>
      <c r="F58" s="742"/>
      <c r="G58" s="743"/>
      <c r="H58" s="742"/>
      <c r="I58" s="744"/>
      <c r="J58" s="745"/>
      <c r="K58" s="746"/>
      <c r="L58" s="746"/>
      <c r="M58" s="747"/>
      <c r="N58" s="365"/>
      <c r="O58" s="365"/>
      <c r="P58" s="363"/>
      <c r="Q58" s="365"/>
      <c r="R58" s="742"/>
      <c r="S58" s="743"/>
      <c r="T58" s="742"/>
      <c r="U58" s="748"/>
    </row>
    <row r="59" spans="2:21" x14ac:dyDescent="0.2">
      <c r="B59" s="236"/>
      <c r="C59" s="206"/>
      <c r="D59" s="235"/>
      <c r="E59" s="206"/>
      <c r="F59" s="735"/>
      <c r="G59" s="736"/>
      <c r="H59" s="735"/>
      <c r="I59" s="737"/>
      <c r="J59" s="738"/>
      <c r="K59" s="739"/>
      <c r="L59" s="739"/>
      <c r="M59" s="740"/>
      <c r="N59" s="206"/>
      <c r="O59" s="206"/>
      <c r="P59" s="235"/>
      <c r="Q59" s="206"/>
      <c r="R59" s="735"/>
      <c r="S59" s="736"/>
      <c r="T59" s="735"/>
      <c r="U59" s="741"/>
    </row>
    <row r="60" spans="2:21" ht="13.8" thickBot="1" x14ac:dyDescent="0.25">
      <c r="B60" s="234"/>
      <c r="C60" s="233"/>
      <c r="D60" s="232"/>
      <c r="E60" s="231"/>
      <c r="F60" s="728"/>
      <c r="G60" s="729"/>
      <c r="H60" s="728"/>
      <c r="I60" s="730"/>
      <c r="J60" s="731"/>
      <c r="K60" s="732"/>
      <c r="L60" s="732"/>
      <c r="M60" s="733"/>
      <c r="N60" s="233"/>
      <c r="O60" s="233"/>
      <c r="P60" s="232"/>
      <c r="Q60" s="231"/>
      <c r="R60" s="728"/>
      <c r="S60" s="729"/>
      <c r="T60" s="728"/>
      <c r="U60" s="734"/>
    </row>
  </sheetData>
  <mergeCells count="333">
    <mergeCell ref="B2:F2"/>
    <mergeCell ref="R1:U1"/>
    <mergeCell ref="D21:E21"/>
    <mergeCell ref="D12:E12"/>
    <mergeCell ref="D15:E15"/>
    <mergeCell ref="P15:Q15"/>
    <mergeCell ref="D17:E17"/>
    <mergeCell ref="F20:G20"/>
    <mergeCell ref="H20:I20"/>
    <mergeCell ref="L20:M20"/>
    <mergeCell ref="F17:G17"/>
    <mergeCell ref="H17:I17"/>
    <mergeCell ref="L17:M17"/>
    <mergeCell ref="R17:S17"/>
    <mergeCell ref="T17:U17"/>
    <mergeCell ref="R18:S18"/>
    <mergeCell ref="T18:U18"/>
    <mergeCell ref="L18:M18"/>
    <mergeCell ref="F19:G19"/>
    <mergeCell ref="H19:I19"/>
    <mergeCell ref="L19:M19"/>
    <mergeCell ref="R19:S19"/>
    <mergeCell ref="T19:U19"/>
    <mergeCell ref="J18:K18"/>
    <mergeCell ref="D22:E22"/>
    <mergeCell ref="P21:Q21"/>
    <mergeCell ref="P22:Q22"/>
    <mergeCell ref="P23:Q23"/>
    <mergeCell ref="D28:E28"/>
    <mergeCell ref="F28:G28"/>
    <mergeCell ref="H28:I28"/>
    <mergeCell ref="L28:M28"/>
    <mergeCell ref="F26:G26"/>
    <mergeCell ref="H26:I26"/>
    <mergeCell ref="F25:G25"/>
    <mergeCell ref="H25:I25"/>
    <mergeCell ref="L25:M25"/>
    <mergeCell ref="F23:G23"/>
    <mergeCell ref="H23:I23"/>
    <mergeCell ref="L23:M23"/>
    <mergeCell ref="F58:G58"/>
    <mergeCell ref="H58:I58"/>
    <mergeCell ref="L58:M58"/>
    <mergeCell ref="R58:S58"/>
    <mergeCell ref="T58:U58"/>
    <mergeCell ref="P11:Q11"/>
    <mergeCell ref="F55:G55"/>
    <mergeCell ref="H55:I55"/>
    <mergeCell ref="L55:M55"/>
    <mergeCell ref="R55:S55"/>
    <mergeCell ref="T55:U55"/>
    <mergeCell ref="F57:G57"/>
    <mergeCell ref="H57:I57"/>
    <mergeCell ref="L57:M57"/>
    <mergeCell ref="R57:S57"/>
    <mergeCell ref="T57:U57"/>
    <mergeCell ref="J57:K57"/>
    <mergeCell ref="F56:G56"/>
    <mergeCell ref="R56:S56"/>
    <mergeCell ref="T56:U56"/>
    <mergeCell ref="F53:G53"/>
    <mergeCell ref="H53:I53"/>
    <mergeCell ref="L53:M53"/>
    <mergeCell ref="R53:S53"/>
    <mergeCell ref="T53:U53"/>
    <mergeCell ref="F54:G54"/>
    <mergeCell ref="H54:I54"/>
    <mergeCell ref="L54:M54"/>
    <mergeCell ref="R54:S54"/>
    <mergeCell ref="T54:U54"/>
    <mergeCell ref="T52:U52"/>
    <mergeCell ref="R2:S2"/>
    <mergeCell ref="R3:S3"/>
    <mergeCell ref="T2:U2"/>
    <mergeCell ref="T3:U3"/>
    <mergeCell ref="P18:Q18"/>
    <mergeCell ref="T50:U50"/>
    <mergeCell ref="R28:S28"/>
    <mergeCell ref="T28:U28"/>
    <mergeCell ref="R20:S20"/>
    <mergeCell ref="T48:U48"/>
    <mergeCell ref="R49:S49"/>
    <mergeCell ref="T49:U49"/>
    <mergeCell ref="J48:K48"/>
    <mergeCell ref="F51:G51"/>
    <mergeCell ref="H51:I51"/>
    <mergeCell ref="L51:M51"/>
    <mergeCell ref="R51:S51"/>
    <mergeCell ref="T51:U51"/>
    <mergeCell ref="J50:K50"/>
    <mergeCell ref="T45:U45"/>
    <mergeCell ref="J44:K44"/>
    <mergeCell ref="F46:G46"/>
    <mergeCell ref="H46:I46"/>
    <mergeCell ref="L46:M46"/>
    <mergeCell ref="R46:S46"/>
    <mergeCell ref="T46:U46"/>
    <mergeCell ref="R47:S47"/>
    <mergeCell ref="T47:U47"/>
    <mergeCell ref="J46:K46"/>
    <mergeCell ref="F50:G50"/>
    <mergeCell ref="H50:I50"/>
    <mergeCell ref="L50:M50"/>
    <mergeCell ref="R50:S50"/>
    <mergeCell ref="T41:U41"/>
    <mergeCell ref="F42:G42"/>
    <mergeCell ref="H42:I42"/>
    <mergeCell ref="L42:M42"/>
    <mergeCell ref="R42:S42"/>
    <mergeCell ref="T42:U42"/>
    <mergeCell ref="T43:U43"/>
    <mergeCell ref="J42:K42"/>
    <mergeCell ref="F44:G44"/>
    <mergeCell ref="H44:I44"/>
    <mergeCell ref="L44:M44"/>
    <mergeCell ref="R44:S44"/>
    <mergeCell ref="T44:U44"/>
    <mergeCell ref="F39:G39"/>
    <mergeCell ref="H39:I39"/>
    <mergeCell ref="L39:M39"/>
    <mergeCell ref="R39:S39"/>
    <mergeCell ref="T39:U39"/>
    <mergeCell ref="F40:G40"/>
    <mergeCell ref="H40:I40"/>
    <mergeCell ref="L40:M40"/>
    <mergeCell ref="R40:S40"/>
    <mergeCell ref="T40:U40"/>
    <mergeCell ref="F37:G37"/>
    <mergeCell ref="H37:I37"/>
    <mergeCell ref="L37:M37"/>
    <mergeCell ref="R37:S37"/>
    <mergeCell ref="T37:U37"/>
    <mergeCell ref="F38:G38"/>
    <mergeCell ref="H38:I38"/>
    <mergeCell ref="L38:M38"/>
    <mergeCell ref="R38:S38"/>
    <mergeCell ref="T38:U38"/>
    <mergeCell ref="F35:G35"/>
    <mergeCell ref="H35:I35"/>
    <mergeCell ref="L35:M35"/>
    <mergeCell ref="R35:S35"/>
    <mergeCell ref="T35:U35"/>
    <mergeCell ref="F36:G36"/>
    <mergeCell ref="H36:I36"/>
    <mergeCell ref="L36:M36"/>
    <mergeCell ref="R36:S36"/>
    <mergeCell ref="T36:U36"/>
    <mergeCell ref="F33:G33"/>
    <mergeCell ref="H33:I33"/>
    <mergeCell ref="L33:M33"/>
    <mergeCell ref="R33:S33"/>
    <mergeCell ref="T33:U33"/>
    <mergeCell ref="F34:G34"/>
    <mergeCell ref="H34:I34"/>
    <mergeCell ref="L34:M34"/>
    <mergeCell ref="R34:S34"/>
    <mergeCell ref="T34:U34"/>
    <mergeCell ref="J33:K33"/>
    <mergeCell ref="J34:K34"/>
    <mergeCell ref="F31:G31"/>
    <mergeCell ref="H31:I31"/>
    <mergeCell ref="L31:M31"/>
    <mergeCell ref="R31:S31"/>
    <mergeCell ref="T31:U31"/>
    <mergeCell ref="F32:G32"/>
    <mergeCell ref="H32:I32"/>
    <mergeCell ref="L32:M32"/>
    <mergeCell ref="R32:S32"/>
    <mergeCell ref="T32:U32"/>
    <mergeCell ref="J31:K31"/>
    <mergeCell ref="J32:K32"/>
    <mergeCell ref="F29:G29"/>
    <mergeCell ref="H29:I29"/>
    <mergeCell ref="L29:M29"/>
    <mergeCell ref="R29:S29"/>
    <mergeCell ref="T29:U29"/>
    <mergeCell ref="J28:K28"/>
    <mergeCell ref="J29:K29"/>
    <mergeCell ref="F30:G30"/>
    <mergeCell ref="H30:I30"/>
    <mergeCell ref="L30:M30"/>
    <mergeCell ref="R30:S30"/>
    <mergeCell ref="T30:U30"/>
    <mergeCell ref="J30:K30"/>
    <mergeCell ref="R25:S25"/>
    <mergeCell ref="T25:U25"/>
    <mergeCell ref="L26:M26"/>
    <mergeCell ref="R26:S26"/>
    <mergeCell ref="T26:U26"/>
    <mergeCell ref="F27:G27"/>
    <mergeCell ref="H27:I27"/>
    <mergeCell ref="L27:M27"/>
    <mergeCell ref="R27:S27"/>
    <mergeCell ref="T27:U27"/>
    <mergeCell ref="J26:K26"/>
    <mergeCell ref="J27:K27"/>
    <mergeCell ref="R23:S23"/>
    <mergeCell ref="T23:U23"/>
    <mergeCell ref="F24:G24"/>
    <mergeCell ref="H24:I24"/>
    <mergeCell ref="L24:M24"/>
    <mergeCell ref="R24:S24"/>
    <mergeCell ref="T24:U24"/>
    <mergeCell ref="T20:U20"/>
    <mergeCell ref="F21:G21"/>
    <mergeCell ref="H21:I21"/>
    <mergeCell ref="L21:M21"/>
    <mergeCell ref="R21:S21"/>
    <mergeCell ref="T21:U21"/>
    <mergeCell ref="J20:K20"/>
    <mergeCell ref="J21:K21"/>
    <mergeCell ref="F22:G22"/>
    <mergeCell ref="H22:I22"/>
    <mergeCell ref="L22:M22"/>
    <mergeCell ref="R22:S22"/>
    <mergeCell ref="T22:U22"/>
    <mergeCell ref="J19:K19"/>
    <mergeCell ref="P19:Q19"/>
    <mergeCell ref="F18:G18"/>
    <mergeCell ref="H18:I18"/>
    <mergeCell ref="F15:G15"/>
    <mergeCell ref="H15:I15"/>
    <mergeCell ref="L15:M15"/>
    <mergeCell ref="R15:S15"/>
    <mergeCell ref="T15:U15"/>
    <mergeCell ref="R16:S16"/>
    <mergeCell ref="T16:U16"/>
    <mergeCell ref="F16:G16"/>
    <mergeCell ref="H16:I16"/>
    <mergeCell ref="L16:M16"/>
    <mergeCell ref="J15:K15"/>
    <mergeCell ref="J16:K16"/>
    <mergeCell ref="J17:K17"/>
    <mergeCell ref="F13:G13"/>
    <mergeCell ref="H13:I13"/>
    <mergeCell ref="L13:M13"/>
    <mergeCell ref="R13:S13"/>
    <mergeCell ref="T13:U13"/>
    <mergeCell ref="F14:G14"/>
    <mergeCell ref="H14:I14"/>
    <mergeCell ref="L14:M14"/>
    <mergeCell ref="R14:S14"/>
    <mergeCell ref="T14:U14"/>
    <mergeCell ref="J13:K13"/>
    <mergeCell ref="J14:K14"/>
    <mergeCell ref="L10:M10"/>
    <mergeCell ref="R10:S10"/>
    <mergeCell ref="T10:U10"/>
    <mergeCell ref="F11:G11"/>
    <mergeCell ref="H11:I11"/>
    <mergeCell ref="L11:M11"/>
    <mergeCell ref="R11:S11"/>
    <mergeCell ref="T11:U11"/>
    <mergeCell ref="F12:G12"/>
    <mergeCell ref="H12:I12"/>
    <mergeCell ref="L12:M12"/>
    <mergeCell ref="R12:S12"/>
    <mergeCell ref="T12:U12"/>
    <mergeCell ref="J12:K12"/>
    <mergeCell ref="B6:K6"/>
    <mergeCell ref="L6:U6"/>
    <mergeCell ref="J7:K8"/>
    <mergeCell ref="J9:K9"/>
    <mergeCell ref="J10:K10"/>
    <mergeCell ref="J11:K11"/>
    <mergeCell ref="F7:G7"/>
    <mergeCell ref="H7:I7"/>
    <mergeCell ref="L7:M8"/>
    <mergeCell ref="R7:S7"/>
    <mergeCell ref="T7:U7"/>
    <mergeCell ref="D8:E8"/>
    <mergeCell ref="F8:G8"/>
    <mergeCell ref="H8:I8"/>
    <mergeCell ref="P8:Q8"/>
    <mergeCell ref="R8:S8"/>
    <mergeCell ref="T8:U8"/>
    <mergeCell ref="F9:G9"/>
    <mergeCell ref="H9:I9"/>
    <mergeCell ref="L9:M9"/>
    <mergeCell ref="R9:S9"/>
    <mergeCell ref="T9:U9"/>
    <mergeCell ref="F10:G10"/>
    <mergeCell ref="H10:I10"/>
    <mergeCell ref="J58:K58"/>
    <mergeCell ref="N2:P2"/>
    <mergeCell ref="N3:P3"/>
    <mergeCell ref="L2:M2"/>
    <mergeCell ref="L3:M3"/>
    <mergeCell ref="H2:J3"/>
    <mergeCell ref="H56:I56"/>
    <mergeCell ref="J56:K56"/>
    <mergeCell ref="L56:M56"/>
    <mergeCell ref="J35:K35"/>
    <mergeCell ref="J51:K51"/>
    <mergeCell ref="J52:K52"/>
    <mergeCell ref="J53:K53"/>
    <mergeCell ref="J54:K54"/>
    <mergeCell ref="J55:K55"/>
    <mergeCell ref="J36:K36"/>
    <mergeCell ref="J37:K37"/>
    <mergeCell ref="J38:K38"/>
    <mergeCell ref="J39:K39"/>
    <mergeCell ref="J22:K22"/>
    <mergeCell ref="J23:K23"/>
    <mergeCell ref="J24:K24"/>
    <mergeCell ref="J25:K25"/>
    <mergeCell ref="J41:K41"/>
    <mergeCell ref="F52:G52"/>
    <mergeCell ref="H52:I52"/>
    <mergeCell ref="L52:M52"/>
    <mergeCell ref="R52:S52"/>
    <mergeCell ref="J40:K40"/>
    <mergeCell ref="F41:G41"/>
    <mergeCell ref="H41:I41"/>
    <mergeCell ref="L41:M41"/>
    <mergeCell ref="R41:S41"/>
    <mergeCell ref="R45:S45"/>
    <mergeCell ref="F48:G48"/>
    <mergeCell ref="H48:I48"/>
    <mergeCell ref="L48:M48"/>
    <mergeCell ref="R48:S48"/>
    <mergeCell ref="T59:U59"/>
    <mergeCell ref="F60:G60"/>
    <mergeCell ref="H60:I60"/>
    <mergeCell ref="J60:K60"/>
    <mergeCell ref="L60:M60"/>
    <mergeCell ref="R60:S60"/>
    <mergeCell ref="T60:U60"/>
    <mergeCell ref="F59:G59"/>
    <mergeCell ref="H59:I59"/>
    <mergeCell ref="J59:K59"/>
    <mergeCell ref="L59:M59"/>
    <mergeCell ref="R59:S59"/>
  </mergeCells>
  <phoneticPr fontId="13"/>
  <dataValidations count="1">
    <dataValidation allowBlank="1" showInputMessage="1" showErrorMessage="1" sqref="Q9:Q10 E9:E11 E13:E14 Q12:Q14 E16 Q16:Q17 E18:E20 Q20 E23:E27 C7:D42 F7:J7 L7 B6:B60 J9:J60 Q24:Q60 F8:I60 C50:D60 E29:E60 L9:L60 N7:P60 R7:U60" xr:uid="{00000000-0002-0000-0100-000000000000}"/>
  </dataValidations>
  <printOptions horizontalCentered="1"/>
  <pageMargins left="0" right="0" top="0.78740157480314965" bottom="0" header="0" footer="0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B1:AF52"/>
  <sheetViews>
    <sheetView workbookViewId="0">
      <selection activeCell="Q21" sqref="Q21"/>
    </sheetView>
  </sheetViews>
  <sheetFormatPr defaultColWidth="9" defaultRowHeight="13.2" x14ac:dyDescent="0.2"/>
  <cols>
    <col min="1" max="1" width="9" style="129"/>
    <col min="2" max="3" width="9.6640625" style="129" customWidth="1"/>
    <col min="4" max="13" width="2" style="129" customWidth="1"/>
    <col min="14" max="15" width="9.6640625" style="129" customWidth="1"/>
    <col min="16" max="16" width="10.109375" style="129" customWidth="1"/>
    <col min="17" max="17" width="30.6640625" style="129" customWidth="1"/>
    <col min="18" max="19" width="9.6640625" style="129" customWidth="1"/>
    <col min="20" max="29" width="2" style="129" customWidth="1"/>
    <col min="30" max="31" width="9.6640625" style="129" customWidth="1"/>
    <col min="32" max="32" width="10.109375" style="129" customWidth="1"/>
    <col min="33" max="52" width="2" style="129" customWidth="1"/>
    <col min="53" max="16384" width="9" style="129"/>
  </cols>
  <sheetData>
    <row r="1" spans="2:32" ht="26.25" customHeight="1" x14ac:dyDescent="0.2">
      <c r="B1" s="129" t="s">
        <v>5</v>
      </c>
      <c r="C1" s="229"/>
      <c r="R1" s="129" t="s">
        <v>5</v>
      </c>
      <c r="S1" s="229"/>
    </row>
    <row r="2" spans="2:32" ht="26.25" customHeight="1" x14ac:dyDescent="0.2"/>
    <row r="3" spans="2:32" ht="31.5" customHeight="1" x14ac:dyDescent="0.2">
      <c r="B3" s="868" t="s">
        <v>70</v>
      </c>
      <c r="C3" s="869"/>
      <c r="D3" s="869"/>
      <c r="E3" s="869"/>
      <c r="F3" s="869"/>
      <c r="G3" s="869"/>
      <c r="H3" s="869"/>
      <c r="I3" s="869"/>
      <c r="J3" s="869"/>
      <c r="K3" s="869"/>
      <c r="L3" s="869"/>
      <c r="M3" s="869"/>
      <c r="N3" s="869"/>
      <c r="O3" s="869"/>
      <c r="P3" s="870"/>
      <c r="R3" s="868" t="s">
        <v>70</v>
      </c>
      <c r="S3" s="869"/>
      <c r="T3" s="869"/>
      <c r="U3" s="869"/>
      <c r="V3" s="869"/>
      <c r="W3" s="869"/>
      <c r="X3" s="869"/>
      <c r="Y3" s="869"/>
      <c r="Z3" s="869"/>
      <c r="AA3" s="869"/>
      <c r="AB3" s="869"/>
      <c r="AC3" s="869"/>
      <c r="AD3" s="869"/>
      <c r="AE3" s="869"/>
      <c r="AF3" s="870"/>
    </row>
    <row r="4" spans="2:32" ht="39.75" customHeight="1" thickBot="1" x14ac:dyDescent="0.25">
      <c r="C4" s="348" t="s">
        <v>71</v>
      </c>
      <c r="S4" s="348" t="s">
        <v>71</v>
      </c>
    </row>
    <row r="5" spans="2:32" ht="24.75" customHeight="1" thickTop="1" thickBot="1" x14ac:dyDescent="0.25">
      <c r="B5" s="199" t="s">
        <v>72</v>
      </c>
      <c r="C5" s="199" t="s">
        <v>73</v>
      </c>
      <c r="D5" s="198">
        <v>1</v>
      </c>
      <c r="E5" s="195">
        <v>2</v>
      </c>
      <c r="F5" s="195">
        <v>3</v>
      </c>
      <c r="G5" s="195">
        <v>4</v>
      </c>
      <c r="H5" s="197">
        <v>5</v>
      </c>
      <c r="I5" s="196">
        <v>6</v>
      </c>
      <c r="J5" s="195">
        <v>7</v>
      </c>
      <c r="K5" s="195">
        <v>8</v>
      </c>
      <c r="L5" s="195">
        <v>9</v>
      </c>
      <c r="M5" s="194">
        <v>0</v>
      </c>
      <c r="N5" s="192" t="s">
        <v>74</v>
      </c>
      <c r="O5" s="192" t="s">
        <v>75</v>
      </c>
      <c r="P5" s="191" t="s">
        <v>76</v>
      </c>
      <c r="R5" s="199" t="s">
        <v>72</v>
      </c>
      <c r="S5" s="199" t="s">
        <v>73</v>
      </c>
      <c r="T5" s="198">
        <v>1</v>
      </c>
      <c r="U5" s="195">
        <v>2</v>
      </c>
      <c r="V5" s="195">
        <v>3</v>
      </c>
      <c r="W5" s="195">
        <v>4</v>
      </c>
      <c r="X5" s="197">
        <v>5</v>
      </c>
      <c r="Y5" s="196">
        <v>6</v>
      </c>
      <c r="Z5" s="195">
        <v>7</v>
      </c>
      <c r="AA5" s="195">
        <v>8</v>
      </c>
      <c r="AB5" s="195">
        <v>9</v>
      </c>
      <c r="AC5" s="194">
        <v>0</v>
      </c>
      <c r="AD5" s="192" t="s">
        <v>74</v>
      </c>
      <c r="AE5" s="192" t="s">
        <v>75</v>
      </c>
      <c r="AF5" s="191" t="s">
        <v>76</v>
      </c>
    </row>
    <row r="6" spans="2:32" ht="12" customHeight="1" thickTop="1" x14ac:dyDescent="0.2">
      <c r="B6" s="864" t="s">
        <v>77</v>
      </c>
      <c r="C6" s="867"/>
      <c r="D6" s="182"/>
      <c r="E6" s="179"/>
      <c r="F6" s="179"/>
      <c r="G6" s="179"/>
      <c r="H6" s="181"/>
      <c r="I6" s="180"/>
      <c r="J6" s="179"/>
      <c r="K6" s="179"/>
      <c r="L6" s="179"/>
      <c r="M6" s="178"/>
      <c r="N6" s="852"/>
      <c r="O6" s="852"/>
      <c r="P6" s="840"/>
      <c r="R6" s="864" t="s">
        <v>77</v>
      </c>
      <c r="S6" s="867"/>
      <c r="T6" s="182"/>
      <c r="U6" s="179"/>
      <c r="V6" s="179"/>
      <c r="W6" s="179"/>
      <c r="X6" s="181"/>
      <c r="Y6" s="180"/>
      <c r="Z6" s="179"/>
      <c r="AA6" s="179"/>
      <c r="AB6" s="179"/>
      <c r="AC6" s="178"/>
      <c r="AD6" s="852"/>
      <c r="AE6" s="852"/>
      <c r="AF6" s="840"/>
    </row>
    <row r="7" spans="2:32" ht="12" customHeight="1" x14ac:dyDescent="0.2">
      <c r="B7" s="865"/>
      <c r="C7" s="843"/>
      <c r="D7" s="148"/>
      <c r="E7" s="145"/>
      <c r="F7" s="145"/>
      <c r="G7" s="145"/>
      <c r="H7" s="147"/>
      <c r="I7" s="146"/>
      <c r="J7" s="145"/>
      <c r="K7" s="145"/>
      <c r="L7" s="145"/>
      <c r="M7" s="144"/>
      <c r="N7" s="843"/>
      <c r="O7" s="843"/>
      <c r="P7" s="841"/>
      <c r="R7" s="865"/>
      <c r="S7" s="843"/>
      <c r="T7" s="148"/>
      <c r="U7" s="145"/>
      <c r="V7" s="145"/>
      <c r="W7" s="145"/>
      <c r="X7" s="147"/>
      <c r="Y7" s="146"/>
      <c r="Z7" s="145"/>
      <c r="AA7" s="145"/>
      <c r="AB7" s="145"/>
      <c r="AC7" s="144"/>
      <c r="AD7" s="843"/>
      <c r="AE7" s="843"/>
      <c r="AF7" s="841"/>
    </row>
    <row r="8" spans="2:32" ht="12" customHeight="1" x14ac:dyDescent="0.2">
      <c r="B8" s="865"/>
      <c r="C8" s="843"/>
      <c r="D8" s="148"/>
      <c r="E8" s="145"/>
      <c r="F8" s="145"/>
      <c r="G8" s="145"/>
      <c r="H8" s="147"/>
      <c r="I8" s="146"/>
      <c r="J8" s="145"/>
      <c r="K8" s="145"/>
      <c r="L8" s="145"/>
      <c r="M8" s="144"/>
      <c r="N8" s="843"/>
      <c r="O8" s="843"/>
      <c r="P8" s="841"/>
      <c r="R8" s="865"/>
      <c r="S8" s="843"/>
      <c r="T8" s="148"/>
      <c r="U8" s="145"/>
      <c r="V8" s="145"/>
      <c r="W8" s="145"/>
      <c r="X8" s="147"/>
      <c r="Y8" s="146"/>
      <c r="Z8" s="145"/>
      <c r="AA8" s="145"/>
      <c r="AB8" s="145"/>
      <c r="AC8" s="144"/>
      <c r="AD8" s="843"/>
      <c r="AE8" s="843"/>
      <c r="AF8" s="841"/>
    </row>
    <row r="9" spans="2:32" ht="12" customHeight="1" x14ac:dyDescent="0.2">
      <c r="B9" s="865"/>
      <c r="C9" s="843"/>
      <c r="D9" s="148"/>
      <c r="E9" s="145"/>
      <c r="F9" s="145"/>
      <c r="G9" s="145"/>
      <c r="H9" s="147"/>
      <c r="I9" s="146"/>
      <c r="J9" s="145"/>
      <c r="K9" s="145"/>
      <c r="L9" s="145"/>
      <c r="M9" s="144"/>
      <c r="N9" s="843"/>
      <c r="O9" s="843"/>
      <c r="P9" s="841"/>
      <c r="R9" s="865"/>
      <c r="S9" s="843"/>
      <c r="T9" s="148"/>
      <c r="U9" s="145"/>
      <c r="V9" s="145"/>
      <c r="W9" s="145"/>
      <c r="X9" s="147"/>
      <c r="Y9" s="146"/>
      <c r="Z9" s="145"/>
      <c r="AA9" s="145"/>
      <c r="AB9" s="145"/>
      <c r="AC9" s="144"/>
      <c r="AD9" s="843"/>
      <c r="AE9" s="843"/>
      <c r="AF9" s="841"/>
    </row>
    <row r="10" spans="2:32" ht="12" customHeight="1" x14ac:dyDescent="0.2">
      <c r="B10" s="865"/>
      <c r="C10" s="843"/>
      <c r="D10" s="177"/>
      <c r="E10" s="174"/>
      <c r="F10" s="174"/>
      <c r="G10" s="174"/>
      <c r="H10" s="176"/>
      <c r="I10" s="175"/>
      <c r="J10" s="174"/>
      <c r="K10" s="174"/>
      <c r="L10" s="174"/>
      <c r="M10" s="173"/>
      <c r="N10" s="843"/>
      <c r="O10" s="843"/>
      <c r="P10" s="841"/>
      <c r="R10" s="865"/>
      <c r="S10" s="843"/>
      <c r="T10" s="177"/>
      <c r="U10" s="174"/>
      <c r="V10" s="174"/>
      <c r="W10" s="174"/>
      <c r="X10" s="176"/>
      <c r="Y10" s="175"/>
      <c r="Z10" s="174"/>
      <c r="AA10" s="174"/>
      <c r="AB10" s="174"/>
      <c r="AC10" s="173"/>
      <c r="AD10" s="843"/>
      <c r="AE10" s="843"/>
      <c r="AF10" s="841"/>
    </row>
    <row r="11" spans="2:32" ht="12" customHeight="1" x14ac:dyDescent="0.2">
      <c r="B11" s="865"/>
      <c r="C11" s="843"/>
      <c r="D11" s="187"/>
      <c r="E11" s="184"/>
      <c r="F11" s="184"/>
      <c r="G11" s="184"/>
      <c r="H11" s="186"/>
      <c r="I11" s="185"/>
      <c r="J11" s="184"/>
      <c r="K11" s="184"/>
      <c r="L11" s="184"/>
      <c r="M11" s="183"/>
      <c r="N11" s="843"/>
      <c r="O11" s="843"/>
      <c r="P11" s="841"/>
      <c r="R11" s="865"/>
      <c r="S11" s="843"/>
      <c r="T11" s="187"/>
      <c r="U11" s="184"/>
      <c r="V11" s="184"/>
      <c r="W11" s="184"/>
      <c r="X11" s="186"/>
      <c r="Y11" s="185"/>
      <c r="Z11" s="184"/>
      <c r="AA11" s="184"/>
      <c r="AB11" s="184"/>
      <c r="AC11" s="183"/>
      <c r="AD11" s="843"/>
      <c r="AE11" s="843"/>
      <c r="AF11" s="841"/>
    </row>
    <row r="12" spans="2:32" ht="12" customHeight="1" x14ac:dyDescent="0.2">
      <c r="B12" s="865"/>
      <c r="C12" s="843"/>
      <c r="D12" s="148"/>
      <c r="E12" s="145"/>
      <c r="F12" s="145"/>
      <c r="G12" s="145"/>
      <c r="H12" s="147"/>
      <c r="I12" s="146"/>
      <c r="J12" s="145"/>
      <c r="K12" s="145"/>
      <c r="L12" s="145"/>
      <c r="M12" s="144"/>
      <c r="N12" s="843"/>
      <c r="O12" s="843"/>
      <c r="P12" s="841"/>
      <c r="R12" s="865"/>
      <c r="S12" s="843"/>
      <c r="T12" s="148"/>
      <c r="U12" s="145"/>
      <c r="V12" s="145"/>
      <c r="W12" s="145"/>
      <c r="X12" s="147"/>
      <c r="Y12" s="146"/>
      <c r="Z12" s="145"/>
      <c r="AA12" s="145"/>
      <c r="AB12" s="145"/>
      <c r="AC12" s="144"/>
      <c r="AD12" s="843"/>
      <c r="AE12" s="843"/>
      <c r="AF12" s="841"/>
    </row>
    <row r="13" spans="2:32" ht="12" customHeight="1" x14ac:dyDescent="0.2">
      <c r="B13" s="865"/>
      <c r="C13" s="843"/>
      <c r="D13" s="148"/>
      <c r="E13" s="145"/>
      <c r="F13" s="145"/>
      <c r="G13" s="145"/>
      <c r="H13" s="147"/>
      <c r="I13" s="146"/>
      <c r="J13" s="145"/>
      <c r="K13" s="145"/>
      <c r="L13" s="145"/>
      <c r="M13" s="144"/>
      <c r="N13" s="843"/>
      <c r="O13" s="843"/>
      <c r="P13" s="841"/>
      <c r="R13" s="865"/>
      <c r="S13" s="843"/>
      <c r="T13" s="148"/>
      <c r="U13" s="145"/>
      <c r="V13" s="145"/>
      <c r="W13" s="145"/>
      <c r="X13" s="147"/>
      <c r="Y13" s="146"/>
      <c r="Z13" s="145"/>
      <c r="AA13" s="145"/>
      <c r="AB13" s="145"/>
      <c r="AC13" s="144"/>
      <c r="AD13" s="843"/>
      <c r="AE13" s="843"/>
      <c r="AF13" s="841"/>
    </row>
    <row r="14" spans="2:32" ht="12" customHeight="1" x14ac:dyDescent="0.2">
      <c r="B14" s="865"/>
      <c r="C14" s="843"/>
      <c r="D14" s="148"/>
      <c r="E14" s="145"/>
      <c r="F14" s="145"/>
      <c r="G14" s="145"/>
      <c r="H14" s="147"/>
      <c r="I14" s="146"/>
      <c r="J14" s="145"/>
      <c r="K14" s="145"/>
      <c r="L14" s="145"/>
      <c r="M14" s="144"/>
      <c r="N14" s="843"/>
      <c r="O14" s="843"/>
      <c r="P14" s="841"/>
      <c r="R14" s="865"/>
      <c r="S14" s="843"/>
      <c r="T14" s="148"/>
      <c r="U14" s="145"/>
      <c r="V14" s="145"/>
      <c r="W14" s="145"/>
      <c r="X14" s="147"/>
      <c r="Y14" s="146"/>
      <c r="Z14" s="145"/>
      <c r="AA14" s="145"/>
      <c r="AB14" s="145"/>
      <c r="AC14" s="144"/>
      <c r="AD14" s="843"/>
      <c r="AE14" s="843"/>
      <c r="AF14" s="841"/>
    </row>
    <row r="15" spans="2:32" ht="12" customHeight="1" thickBot="1" x14ac:dyDescent="0.25">
      <c r="B15" s="866"/>
      <c r="C15" s="844"/>
      <c r="D15" s="166"/>
      <c r="E15" s="163"/>
      <c r="F15" s="163"/>
      <c r="G15" s="163"/>
      <c r="H15" s="165"/>
      <c r="I15" s="164"/>
      <c r="J15" s="163"/>
      <c r="K15" s="163"/>
      <c r="L15" s="163"/>
      <c r="M15" s="162"/>
      <c r="N15" s="844"/>
      <c r="O15" s="844"/>
      <c r="P15" s="842"/>
      <c r="R15" s="866"/>
      <c r="S15" s="844"/>
      <c r="T15" s="166"/>
      <c r="U15" s="163"/>
      <c r="V15" s="163"/>
      <c r="W15" s="163"/>
      <c r="X15" s="165"/>
      <c r="Y15" s="164"/>
      <c r="Z15" s="163"/>
      <c r="AA15" s="163"/>
      <c r="AB15" s="163"/>
      <c r="AC15" s="162"/>
      <c r="AD15" s="844"/>
      <c r="AE15" s="844"/>
      <c r="AF15" s="842"/>
    </row>
    <row r="16" spans="2:32" ht="12" customHeight="1" thickTop="1" x14ac:dyDescent="0.2">
      <c r="B16" s="864" t="s">
        <v>78</v>
      </c>
      <c r="C16" s="867"/>
      <c r="D16" s="182"/>
      <c r="E16" s="179"/>
      <c r="F16" s="179"/>
      <c r="G16" s="179"/>
      <c r="H16" s="181"/>
      <c r="I16" s="180"/>
      <c r="J16" s="179"/>
      <c r="K16" s="179"/>
      <c r="L16" s="179"/>
      <c r="M16" s="178"/>
      <c r="N16" s="852"/>
      <c r="O16" s="852"/>
      <c r="P16" s="840"/>
      <c r="R16" s="864" t="s">
        <v>78</v>
      </c>
      <c r="S16" s="867"/>
      <c r="T16" s="182"/>
      <c r="U16" s="179"/>
      <c r="V16" s="179"/>
      <c r="W16" s="179"/>
      <c r="X16" s="181"/>
      <c r="Y16" s="180"/>
      <c r="Z16" s="179"/>
      <c r="AA16" s="179"/>
      <c r="AB16" s="179"/>
      <c r="AC16" s="178"/>
      <c r="AD16" s="852"/>
      <c r="AE16" s="852"/>
      <c r="AF16" s="840"/>
    </row>
    <row r="17" spans="2:32" ht="12" customHeight="1" x14ac:dyDescent="0.2">
      <c r="B17" s="865"/>
      <c r="C17" s="843"/>
      <c r="D17" s="148"/>
      <c r="E17" s="145"/>
      <c r="F17" s="145"/>
      <c r="G17" s="145"/>
      <c r="H17" s="147"/>
      <c r="I17" s="146"/>
      <c r="J17" s="145"/>
      <c r="K17" s="145"/>
      <c r="L17" s="145"/>
      <c r="M17" s="144"/>
      <c r="N17" s="843"/>
      <c r="O17" s="843"/>
      <c r="P17" s="841"/>
      <c r="R17" s="865"/>
      <c r="S17" s="843"/>
      <c r="T17" s="148"/>
      <c r="U17" s="145"/>
      <c r="V17" s="145"/>
      <c r="W17" s="145"/>
      <c r="X17" s="147"/>
      <c r="Y17" s="146"/>
      <c r="Z17" s="145"/>
      <c r="AA17" s="145"/>
      <c r="AB17" s="145"/>
      <c r="AC17" s="144"/>
      <c r="AD17" s="843"/>
      <c r="AE17" s="843"/>
      <c r="AF17" s="841"/>
    </row>
    <row r="18" spans="2:32" ht="12" customHeight="1" x14ac:dyDescent="0.2">
      <c r="B18" s="865"/>
      <c r="C18" s="843"/>
      <c r="D18" s="148"/>
      <c r="E18" s="145"/>
      <c r="F18" s="145"/>
      <c r="G18" s="145"/>
      <c r="H18" s="147"/>
      <c r="I18" s="146"/>
      <c r="J18" s="145"/>
      <c r="K18" s="145"/>
      <c r="L18" s="145"/>
      <c r="M18" s="144"/>
      <c r="N18" s="843"/>
      <c r="O18" s="843"/>
      <c r="P18" s="841"/>
      <c r="R18" s="865"/>
      <c r="S18" s="843"/>
      <c r="T18" s="148"/>
      <c r="U18" s="145"/>
      <c r="V18" s="145"/>
      <c r="W18" s="145"/>
      <c r="X18" s="147"/>
      <c r="Y18" s="146"/>
      <c r="Z18" s="145"/>
      <c r="AA18" s="145"/>
      <c r="AB18" s="145"/>
      <c r="AC18" s="144"/>
      <c r="AD18" s="843"/>
      <c r="AE18" s="843"/>
      <c r="AF18" s="841"/>
    </row>
    <row r="19" spans="2:32" ht="12" customHeight="1" x14ac:dyDescent="0.2">
      <c r="B19" s="865"/>
      <c r="C19" s="843"/>
      <c r="D19" s="148"/>
      <c r="E19" s="145"/>
      <c r="F19" s="145"/>
      <c r="G19" s="145"/>
      <c r="H19" s="147"/>
      <c r="I19" s="146"/>
      <c r="J19" s="145"/>
      <c r="K19" s="145"/>
      <c r="L19" s="145"/>
      <c r="M19" s="144"/>
      <c r="N19" s="843"/>
      <c r="O19" s="843"/>
      <c r="P19" s="841"/>
      <c r="R19" s="865"/>
      <c r="S19" s="843"/>
      <c r="T19" s="148"/>
      <c r="U19" s="145"/>
      <c r="V19" s="145"/>
      <c r="W19" s="145"/>
      <c r="X19" s="147"/>
      <c r="Y19" s="146"/>
      <c r="Z19" s="145"/>
      <c r="AA19" s="145"/>
      <c r="AB19" s="145"/>
      <c r="AC19" s="144"/>
      <c r="AD19" s="843"/>
      <c r="AE19" s="843"/>
      <c r="AF19" s="841"/>
    </row>
    <row r="20" spans="2:32" ht="12" customHeight="1" x14ac:dyDescent="0.2">
      <c r="B20" s="865"/>
      <c r="C20" s="843"/>
      <c r="D20" s="177"/>
      <c r="E20" s="174"/>
      <c r="F20" s="174"/>
      <c r="G20" s="174"/>
      <c r="H20" s="176"/>
      <c r="I20" s="175"/>
      <c r="J20" s="174"/>
      <c r="K20" s="174"/>
      <c r="L20" s="174"/>
      <c r="M20" s="173"/>
      <c r="N20" s="843"/>
      <c r="O20" s="843"/>
      <c r="P20" s="841"/>
      <c r="R20" s="865"/>
      <c r="S20" s="843"/>
      <c r="T20" s="177"/>
      <c r="U20" s="174"/>
      <c r="V20" s="174"/>
      <c r="W20" s="174"/>
      <c r="X20" s="176"/>
      <c r="Y20" s="175"/>
      <c r="Z20" s="174"/>
      <c r="AA20" s="174"/>
      <c r="AB20" s="174"/>
      <c r="AC20" s="173"/>
      <c r="AD20" s="843"/>
      <c r="AE20" s="843"/>
      <c r="AF20" s="841"/>
    </row>
    <row r="21" spans="2:32" ht="12" customHeight="1" x14ac:dyDescent="0.2">
      <c r="B21" s="865"/>
      <c r="C21" s="843"/>
      <c r="D21" s="187"/>
      <c r="E21" s="184"/>
      <c r="F21" s="184"/>
      <c r="G21" s="184"/>
      <c r="H21" s="186"/>
      <c r="I21" s="185"/>
      <c r="J21" s="184"/>
      <c r="K21" s="184"/>
      <c r="L21" s="184"/>
      <c r="M21" s="183"/>
      <c r="N21" s="843"/>
      <c r="O21" s="843"/>
      <c r="P21" s="841"/>
      <c r="R21" s="865"/>
      <c r="S21" s="843"/>
      <c r="T21" s="187"/>
      <c r="U21" s="184"/>
      <c r="V21" s="184"/>
      <c r="W21" s="184"/>
      <c r="X21" s="186"/>
      <c r="Y21" s="185"/>
      <c r="Z21" s="184"/>
      <c r="AA21" s="184"/>
      <c r="AB21" s="184"/>
      <c r="AC21" s="183"/>
      <c r="AD21" s="843"/>
      <c r="AE21" s="843"/>
      <c r="AF21" s="841"/>
    </row>
    <row r="22" spans="2:32" ht="12" customHeight="1" x14ac:dyDescent="0.2">
      <c r="B22" s="865"/>
      <c r="C22" s="843"/>
      <c r="D22" s="148"/>
      <c r="E22" s="145"/>
      <c r="F22" s="145"/>
      <c r="G22" s="145"/>
      <c r="H22" s="147"/>
      <c r="I22" s="146"/>
      <c r="J22" s="145"/>
      <c r="K22" s="145"/>
      <c r="L22" s="145"/>
      <c r="M22" s="144"/>
      <c r="N22" s="843"/>
      <c r="O22" s="843"/>
      <c r="P22" s="841"/>
      <c r="R22" s="865"/>
      <c r="S22" s="843"/>
      <c r="T22" s="148"/>
      <c r="U22" s="145"/>
      <c r="V22" s="145"/>
      <c r="W22" s="145"/>
      <c r="X22" s="147"/>
      <c r="Y22" s="146"/>
      <c r="Z22" s="145"/>
      <c r="AA22" s="145"/>
      <c r="AB22" s="145"/>
      <c r="AC22" s="144"/>
      <c r="AD22" s="843"/>
      <c r="AE22" s="843"/>
      <c r="AF22" s="841"/>
    </row>
    <row r="23" spans="2:32" ht="12" customHeight="1" x14ac:dyDescent="0.2">
      <c r="B23" s="865"/>
      <c r="C23" s="843"/>
      <c r="D23" s="148"/>
      <c r="E23" s="145"/>
      <c r="F23" s="145"/>
      <c r="G23" s="145"/>
      <c r="H23" s="147"/>
      <c r="I23" s="146"/>
      <c r="J23" s="145"/>
      <c r="K23" s="145"/>
      <c r="L23" s="145"/>
      <c r="M23" s="144"/>
      <c r="N23" s="843"/>
      <c r="O23" s="843"/>
      <c r="P23" s="841"/>
      <c r="R23" s="865"/>
      <c r="S23" s="843"/>
      <c r="T23" s="148"/>
      <c r="U23" s="145"/>
      <c r="V23" s="145"/>
      <c r="W23" s="145"/>
      <c r="X23" s="147"/>
      <c r="Y23" s="146"/>
      <c r="Z23" s="145"/>
      <c r="AA23" s="145"/>
      <c r="AB23" s="145"/>
      <c r="AC23" s="144"/>
      <c r="AD23" s="843"/>
      <c r="AE23" s="843"/>
      <c r="AF23" s="841"/>
    </row>
    <row r="24" spans="2:32" ht="12" customHeight="1" x14ac:dyDescent="0.2">
      <c r="B24" s="865"/>
      <c r="C24" s="843"/>
      <c r="D24" s="148"/>
      <c r="E24" s="145"/>
      <c r="F24" s="145"/>
      <c r="G24" s="145"/>
      <c r="H24" s="147"/>
      <c r="I24" s="146"/>
      <c r="J24" s="145"/>
      <c r="K24" s="145"/>
      <c r="L24" s="145"/>
      <c r="M24" s="144"/>
      <c r="N24" s="843"/>
      <c r="O24" s="843"/>
      <c r="P24" s="841"/>
      <c r="R24" s="865"/>
      <c r="S24" s="843"/>
      <c r="T24" s="148"/>
      <c r="U24" s="145"/>
      <c r="V24" s="145"/>
      <c r="W24" s="145"/>
      <c r="X24" s="147"/>
      <c r="Y24" s="146"/>
      <c r="Z24" s="145"/>
      <c r="AA24" s="145"/>
      <c r="AB24" s="145"/>
      <c r="AC24" s="144"/>
      <c r="AD24" s="843"/>
      <c r="AE24" s="843"/>
      <c r="AF24" s="841"/>
    </row>
    <row r="25" spans="2:32" ht="12" customHeight="1" thickBot="1" x14ac:dyDescent="0.25">
      <c r="B25" s="866"/>
      <c r="C25" s="844"/>
      <c r="D25" s="166"/>
      <c r="E25" s="163"/>
      <c r="F25" s="163"/>
      <c r="G25" s="163"/>
      <c r="H25" s="165"/>
      <c r="I25" s="164"/>
      <c r="J25" s="163"/>
      <c r="K25" s="163"/>
      <c r="L25" s="163"/>
      <c r="M25" s="162"/>
      <c r="N25" s="844"/>
      <c r="O25" s="844"/>
      <c r="P25" s="842"/>
      <c r="R25" s="866"/>
      <c r="S25" s="844"/>
      <c r="T25" s="166"/>
      <c r="U25" s="163"/>
      <c r="V25" s="163"/>
      <c r="W25" s="163"/>
      <c r="X25" s="165"/>
      <c r="Y25" s="164"/>
      <c r="Z25" s="163"/>
      <c r="AA25" s="163"/>
      <c r="AB25" s="163"/>
      <c r="AC25" s="162"/>
      <c r="AD25" s="844"/>
      <c r="AE25" s="844"/>
      <c r="AF25" s="842"/>
    </row>
    <row r="26" spans="2:32" ht="12" customHeight="1" thickTop="1" x14ac:dyDescent="0.2">
      <c r="B26" s="864" t="s">
        <v>79</v>
      </c>
      <c r="C26" s="867"/>
      <c r="D26" s="182"/>
      <c r="E26" s="179"/>
      <c r="F26" s="179"/>
      <c r="G26" s="179"/>
      <c r="H26" s="181"/>
      <c r="I26" s="180"/>
      <c r="J26" s="179"/>
      <c r="K26" s="179"/>
      <c r="L26" s="179"/>
      <c r="M26" s="178"/>
      <c r="N26" s="852"/>
      <c r="O26" s="852"/>
      <c r="P26" s="840"/>
      <c r="R26" s="864" t="s">
        <v>79</v>
      </c>
      <c r="S26" s="867"/>
      <c r="T26" s="182"/>
      <c r="U26" s="179"/>
      <c r="V26" s="179"/>
      <c r="W26" s="179"/>
      <c r="X26" s="181"/>
      <c r="Y26" s="180"/>
      <c r="Z26" s="179"/>
      <c r="AA26" s="179"/>
      <c r="AB26" s="179"/>
      <c r="AC26" s="178"/>
      <c r="AD26" s="852"/>
      <c r="AE26" s="852"/>
      <c r="AF26" s="840"/>
    </row>
    <row r="27" spans="2:32" ht="12" customHeight="1" x14ac:dyDescent="0.2">
      <c r="B27" s="865"/>
      <c r="C27" s="843"/>
      <c r="D27" s="148"/>
      <c r="E27" s="145"/>
      <c r="F27" s="145"/>
      <c r="G27" s="145"/>
      <c r="H27" s="147"/>
      <c r="I27" s="146"/>
      <c r="J27" s="145"/>
      <c r="K27" s="145"/>
      <c r="L27" s="145"/>
      <c r="M27" s="144"/>
      <c r="N27" s="843"/>
      <c r="O27" s="843"/>
      <c r="P27" s="841"/>
      <c r="R27" s="865"/>
      <c r="S27" s="843"/>
      <c r="T27" s="148"/>
      <c r="U27" s="145"/>
      <c r="V27" s="145"/>
      <c r="W27" s="145"/>
      <c r="X27" s="147"/>
      <c r="Y27" s="146"/>
      <c r="Z27" s="145"/>
      <c r="AA27" s="145"/>
      <c r="AB27" s="145"/>
      <c r="AC27" s="144"/>
      <c r="AD27" s="843"/>
      <c r="AE27" s="843"/>
      <c r="AF27" s="841"/>
    </row>
    <row r="28" spans="2:32" ht="12" customHeight="1" x14ac:dyDescent="0.2">
      <c r="B28" s="865"/>
      <c r="C28" s="843"/>
      <c r="D28" s="148"/>
      <c r="E28" s="145"/>
      <c r="F28" s="145"/>
      <c r="G28" s="145"/>
      <c r="H28" s="147"/>
      <c r="I28" s="146"/>
      <c r="J28" s="145"/>
      <c r="K28" s="145"/>
      <c r="L28" s="145"/>
      <c r="M28" s="144"/>
      <c r="N28" s="843"/>
      <c r="O28" s="843"/>
      <c r="P28" s="841"/>
      <c r="R28" s="865"/>
      <c r="S28" s="843"/>
      <c r="T28" s="148"/>
      <c r="U28" s="145"/>
      <c r="V28" s="145"/>
      <c r="W28" s="145"/>
      <c r="X28" s="147"/>
      <c r="Y28" s="146"/>
      <c r="Z28" s="145"/>
      <c r="AA28" s="145"/>
      <c r="AB28" s="145"/>
      <c r="AC28" s="144"/>
      <c r="AD28" s="843"/>
      <c r="AE28" s="843"/>
      <c r="AF28" s="841"/>
    </row>
    <row r="29" spans="2:32" ht="12" customHeight="1" x14ac:dyDescent="0.2">
      <c r="B29" s="865"/>
      <c r="C29" s="843"/>
      <c r="D29" s="148"/>
      <c r="E29" s="145"/>
      <c r="F29" s="145"/>
      <c r="G29" s="145"/>
      <c r="H29" s="147"/>
      <c r="I29" s="146"/>
      <c r="J29" s="145"/>
      <c r="K29" s="145"/>
      <c r="L29" s="145"/>
      <c r="M29" s="144"/>
      <c r="N29" s="843"/>
      <c r="O29" s="843"/>
      <c r="P29" s="841"/>
      <c r="R29" s="865"/>
      <c r="S29" s="843"/>
      <c r="T29" s="148"/>
      <c r="U29" s="145"/>
      <c r="V29" s="145"/>
      <c r="W29" s="145"/>
      <c r="X29" s="147"/>
      <c r="Y29" s="146"/>
      <c r="Z29" s="145"/>
      <c r="AA29" s="145"/>
      <c r="AB29" s="145"/>
      <c r="AC29" s="144"/>
      <c r="AD29" s="843"/>
      <c r="AE29" s="843"/>
      <c r="AF29" s="841"/>
    </row>
    <row r="30" spans="2:32" ht="12" customHeight="1" x14ac:dyDescent="0.2">
      <c r="B30" s="865"/>
      <c r="C30" s="843"/>
      <c r="D30" s="177"/>
      <c r="E30" s="174"/>
      <c r="F30" s="174"/>
      <c r="G30" s="174"/>
      <c r="H30" s="176"/>
      <c r="I30" s="175"/>
      <c r="J30" s="174"/>
      <c r="K30" s="174"/>
      <c r="L30" s="174"/>
      <c r="M30" s="173"/>
      <c r="N30" s="843"/>
      <c r="O30" s="843"/>
      <c r="P30" s="841"/>
      <c r="R30" s="865"/>
      <c r="S30" s="843"/>
      <c r="T30" s="177"/>
      <c r="U30" s="174"/>
      <c r="V30" s="174"/>
      <c r="W30" s="174"/>
      <c r="X30" s="176"/>
      <c r="Y30" s="175"/>
      <c r="Z30" s="174"/>
      <c r="AA30" s="174"/>
      <c r="AB30" s="174"/>
      <c r="AC30" s="173"/>
      <c r="AD30" s="843"/>
      <c r="AE30" s="843"/>
      <c r="AF30" s="841"/>
    </row>
    <row r="31" spans="2:32" ht="12" customHeight="1" x14ac:dyDescent="0.2">
      <c r="B31" s="865"/>
      <c r="C31" s="843"/>
      <c r="D31" s="187"/>
      <c r="E31" s="184"/>
      <c r="F31" s="184"/>
      <c r="G31" s="184"/>
      <c r="H31" s="186"/>
      <c r="I31" s="185"/>
      <c r="J31" s="184"/>
      <c r="K31" s="184"/>
      <c r="L31" s="184"/>
      <c r="M31" s="183"/>
      <c r="N31" s="843"/>
      <c r="O31" s="843"/>
      <c r="P31" s="841"/>
      <c r="R31" s="865"/>
      <c r="S31" s="843"/>
      <c r="T31" s="187"/>
      <c r="U31" s="184"/>
      <c r="V31" s="184"/>
      <c r="W31" s="184"/>
      <c r="X31" s="186"/>
      <c r="Y31" s="185"/>
      <c r="Z31" s="184"/>
      <c r="AA31" s="184"/>
      <c r="AB31" s="184"/>
      <c r="AC31" s="183"/>
      <c r="AD31" s="843"/>
      <c r="AE31" s="843"/>
      <c r="AF31" s="841"/>
    </row>
    <row r="32" spans="2:32" ht="12" customHeight="1" x14ac:dyDescent="0.2">
      <c r="B32" s="865"/>
      <c r="C32" s="843"/>
      <c r="D32" s="148"/>
      <c r="E32" s="145"/>
      <c r="F32" s="145"/>
      <c r="G32" s="145"/>
      <c r="H32" s="147"/>
      <c r="I32" s="146"/>
      <c r="J32" s="145"/>
      <c r="K32" s="145"/>
      <c r="L32" s="145"/>
      <c r="M32" s="144"/>
      <c r="N32" s="843"/>
      <c r="O32" s="843"/>
      <c r="P32" s="841"/>
      <c r="R32" s="865"/>
      <c r="S32" s="843"/>
      <c r="T32" s="148"/>
      <c r="U32" s="145"/>
      <c r="V32" s="145"/>
      <c r="W32" s="145"/>
      <c r="X32" s="147"/>
      <c r="Y32" s="146"/>
      <c r="Z32" s="145"/>
      <c r="AA32" s="145"/>
      <c r="AB32" s="145"/>
      <c r="AC32" s="144"/>
      <c r="AD32" s="843"/>
      <c r="AE32" s="843"/>
      <c r="AF32" s="841"/>
    </row>
    <row r="33" spans="2:32" ht="12" customHeight="1" x14ac:dyDescent="0.2">
      <c r="B33" s="865"/>
      <c r="C33" s="843"/>
      <c r="D33" s="148"/>
      <c r="E33" s="145"/>
      <c r="F33" s="145"/>
      <c r="G33" s="145"/>
      <c r="H33" s="147"/>
      <c r="I33" s="146"/>
      <c r="J33" s="145"/>
      <c r="K33" s="145"/>
      <c r="L33" s="145"/>
      <c r="M33" s="144"/>
      <c r="N33" s="843"/>
      <c r="O33" s="843"/>
      <c r="P33" s="841"/>
      <c r="R33" s="865"/>
      <c r="S33" s="843"/>
      <c r="T33" s="148"/>
      <c r="U33" s="145"/>
      <c r="V33" s="145"/>
      <c r="W33" s="145"/>
      <c r="X33" s="147"/>
      <c r="Y33" s="146"/>
      <c r="Z33" s="145"/>
      <c r="AA33" s="145"/>
      <c r="AB33" s="145"/>
      <c r="AC33" s="144"/>
      <c r="AD33" s="843"/>
      <c r="AE33" s="843"/>
      <c r="AF33" s="841"/>
    </row>
    <row r="34" spans="2:32" ht="12" customHeight="1" x14ac:dyDescent="0.2">
      <c r="B34" s="865"/>
      <c r="C34" s="843"/>
      <c r="D34" s="148"/>
      <c r="E34" s="145"/>
      <c r="F34" s="145"/>
      <c r="G34" s="145"/>
      <c r="H34" s="147"/>
      <c r="I34" s="146"/>
      <c r="J34" s="145"/>
      <c r="K34" s="145"/>
      <c r="L34" s="145"/>
      <c r="M34" s="144"/>
      <c r="N34" s="843"/>
      <c r="O34" s="843"/>
      <c r="P34" s="841"/>
      <c r="R34" s="865"/>
      <c r="S34" s="843"/>
      <c r="T34" s="148"/>
      <c r="U34" s="145"/>
      <c r="V34" s="145"/>
      <c r="W34" s="145"/>
      <c r="X34" s="147"/>
      <c r="Y34" s="146"/>
      <c r="Z34" s="145"/>
      <c r="AA34" s="145"/>
      <c r="AB34" s="145"/>
      <c r="AC34" s="144"/>
      <c r="AD34" s="843"/>
      <c r="AE34" s="843"/>
      <c r="AF34" s="841"/>
    </row>
    <row r="35" spans="2:32" ht="12" customHeight="1" thickBot="1" x14ac:dyDescent="0.25">
      <c r="B35" s="866"/>
      <c r="C35" s="844"/>
      <c r="D35" s="166"/>
      <c r="E35" s="163"/>
      <c r="F35" s="163"/>
      <c r="G35" s="163"/>
      <c r="H35" s="165"/>
      <c r="I35" s="164"/>
      <c r="J35" s="163"/>
      <c r="K35" s="163"/>
      <c r="L35" s="163"/>
      <c r="M35" s="162"/>
      <c r="N35" s="844"/>
      <c r="O35" s="844"/>
      <c r="P35" s="842"/>
      <c r="R35" s="866"/>
      <c r="S35" s="844"/>
      <c r="T35" s="166"/>
      <c r="U35" s="163"/>
      <c r="V35" s="163"/>
      <c r="W35" s="163"/>
      <c r="X35" s="165"/>
      <c r="Y35" s="164"/>
      <c r="Z35" s="163"/>
      <c r="AA35" s="163"/>
      <c r="AB35" s="163"/>
      <c r="AC35" s="162"/>
      <c r="AD35" s="844"/>
      <c r="AE35" s="844"/>
      <c r="AF35" s="842"/>
    </row>
    <row r="36" spans="2:32" ht="12" customHeight="1" thickTop="1" x14ac:dyDescent="0.2">
      <c r="B36" s="845" t="s">
        <v>80</v>
      </c>
      <c r="C36" s="852"/>
      <c r="D36" s="161"/>
      <c r="E36" s="156"/>
      <c r="F36" s="156"/>
      <c r="G36" s="156"/>
      <c r="H36" s="158"/>
      <c r="I36" s="157"/>
      <c r="J36" s="156"/>
      <c r="K36" s="156"/>
      <c r="L36" s="156"/>
      <c r="M36" s="155"/>
      <c r="N36" s="852"/>
      <c r="O36" s="852"/>
      <c r="P36" s="840"/>
      <c r="R36" s="845" t="s">
        <v>80</v>
      </c>
      <c r="S36" s="852"/>
      <c r="T36" s="161"/>
      <c r="U36" s="156"/>
      <c r="V36" s="156"/>
      <c r="W36" s="156"/>
      <c r="X36" s="158"/>
      <c r="Y36" s="157"/>
      <c r="Z36" s="156"/>
      <c r="AA36" s="156"/>
      <c r="AB36" s="156"/>
      <c r="AC36" s="155"/>
      <c r="AD36" s="852"/>
      <c r="AE36" s="852"/>
      <c r="AF36" s="840"/>
    </row>
    <row r="37" spans="2:32" ht="12" customHeight="1" x14ac:dyDescent="0.2">
      <c r="B37" s="846"/>
      <c r="C37" s="843"/>
      <c r="D37" s="148"/>
      <c r="E37" s="145"/>
      <c r="F37" s="145"/>
      <c r="G37" s="145"/>
      <c r="H37" s="147"/>
      <c r="I37" s="146"/>
      <c r="J37" s="145"/>
      <c r="K37" s="145"/>
      <c r="L37" s="145"/>
      <c r="M37" s="144"/>
      <c r="N37" s="843"/>
      <c r="O37" s="843"/>
      <c r="P37" s="841"/>
      <c r="R37" s="846"/>
      <c r="S37" s="843"/>
      <c r="T37" s="148"/>
      <c r="U37" s="145"/>
      <c r="V37" s="145"/>
      <c r="W37" s="145"/>
      <c r="X37" s="147"/>
      <c r="Y37" s="146"/>
      <c r="Z37" s="145"/>
      <c r="AA37" s="145"/>
      <c r="AB37" s="145"/>
      <c r="AC37" s="144"/>
      <c r="AD37" s="843"/>
      <c r="AE37" s="843"/>
      <c r="AF37" s="841"/>
    </row>
    <row r="38" spans="2:32" ht="12" customHeight="1" x14ac:dyDescent="0.2">
      <c r="B38" s="846"/>
      <c r="C38" s="843"/>
      <c r="D38" s="143"/>
      <c r="E38" s="140"/>
      <c r="F38" s="140"/>
      <c r="G38" s="140"/>
      <c r="H38" s="142"/>
      <c r="I38" s="141"/>
      <c r="J38" s="140"/>
      <c r="K38" s="140"/>
      <c r="L38" s="140"/>
      <c r="M38" s="139"/>
      <c r="N38" s="843"/>
      <c r="O38" s="843"/>
      <c r="P38" s="841"/>
      <c r="R38" s="846"/>
      <c r="S38" s="843"/>
      <c r="T38" s="143"/>
      <c r="U38" s="140"/>
      <c r="V38" s="140"/>
      <c r="W38" s="140"/>
      <c r="X38" s="142"/>
      <c r="Y38" s="141"/>
      <c r="Z38" s="140"/>
      <c r="AA38" s="140"/>
      <c r="AB38" s="140"/>
      <c r="AC38" s="139"/>
      <c r="AD38" s="843"/>
      <c r="AE38" s="843"/>
      <c r="AF38" s="841"/>
    </row>
    <row r="39" spans="2:32" ht="12" customHeight="1" x14ac:dyDescent="0.2">
      <c r="B39" s="846"/>
      <c r="C39" s="843"/>
      <c r="D39" s="202"/>
      <c r="E39" s="150"/>
      <c r="F39" s="150"/>
      <c r="G39" s="150"/>
      <c r="H39" s="201"/>
      <c r="I39" s="200"/>
      <c r="J39" s="150"/>
      <c r="K39" s="150"/>
      <c r="L39" s="150"/>
      <c r="M39" s="149"/>
      <c r="N39" s="843"/>
      <c r="O39" s="843"/>
      <c r="P39" s="841"/>
      <c r="R39" s="846"/>
      <c r="S39" s="843"/>
      <c r="T39" s="202"/>
      <c r="U39" s="150"/>
      <c r="V39" s="150"/>
      <c r="W39" s="150"/>
      <c r="X39" s="201"/>
      <c r="Y39" s="200"/>
      <c r="Z39" s="150"/>
      <c r="AA39" s="150"/>
      <c r="AB39" s="150"/>
      <c r="AC39" s="149"/>
      <c r="AD39" s="843"/>
      <c r="AE39" s="843"/>
      <c r="AF39" s="841"/>
    </row>
    <row r="40" spans="2:32" ht="12" customHeight="1" x14ac:dyDescent="0.2">
      <c r="B40" s="846"/>
      <c r="C40" s="843"/>
      <c r="D40" s="148"/>
      <c r="E40" s="145"/>
      <c r="F40" s="145"/>
      <c r="G40" s="145"/>
      <c r="H40" s="147"/>
      <c r="I40" s="146"/>
      <c r="J40" s="145"/>
      <c r="K40" s="145"/>
      <c r="L40" s="145"/>
      <c r="M40" s="144"/>
      <c r="N40" s="843"/>
      <c r="O40" s="843"/>
      <c r="P40" s="841"/>
      <c r="R40" s="846"/>
      <c r="S40" s="843"/>
      <c r="T40" s="148"/>
      <c r="U40" s="145"/>
      <c r="V40" s="145"/>
      <c r="W40" s="145"/>
      <c r="X40" s="147"/>
      <c r="Y40" s="146"/>
      <c r="Z40" s="145"/>
      <c r="AA40" s="145"/>
      <c r="AB40" s="145"/>
      <c r="AC40" s="144"/>
      <c r="AD40" s="843"/>
      <c r="AE40" s="843"/>
      <c r="AF40" s="841"/>
    </row>
    <row r="41" spans="2:32" ht="12" customHeight="1" thickBot="1" x14ac:dyDescent="0.25">
      <c r="B41" s="847"/>
      <c r="C41" s="844"/>
      <c r="D41" s="143"/>
      <c r="E41" s="140"/>
      <c r="F41" s="140"/>
      <c r="G41" s="140"/>
      <c r="H41" s="142"/>
      <c r="I41" s="141"/>
      <c r="J41" s="140"/>
      <c r="K41" s="140"/>
      <c r="L41" s="140"/>
      <c r="M41" s="139"/>
      <c r="N41" s="844"/>
      <c r="O41" s="844"/>
      <c r="P41" s="842"/>
      <c r="R41" s="847"/>
      <c r="S41" s="844"/>
      <c r="T41" s="143"/>
      <c r="U41" s="140"/>
      <c r="V41" s="140"/>
      <c r="W41" s="140"/>
      <c r="X41" s="142"/>
      <c r="Y41" s="141"/>
      <c r="Z41" s="140"/>
      <c r="AA41" s="140"/>
      <c r="AB41" s="140"/>
      <c r="AC41" s="139"/>
      <c r="AD41" s="844"/>
      <c r="AE41" s="844"/>
      <c r="AF41" s="842"/>
    </row>
    <row r="42" spans="2:32" ht="12" customHeight="1" thickTop="1" x14ac:dyDescent="0.2">
      <c r="B42" s="845" t="s">
        <v>81</v>
      </c>
      <c r="C42" s="848"/>
      <c r="D42" s="138"/>
      <c r="E42" s="137"/>
      <c r="F42" s="137"/>
      <c r="G42" s="137"/>
      <c r="H42" s="137"/>
      <c r="I42" s="137"/>
      <c r="J42" s="137"/>
      <c r="K42" s="137"/>
      <c r="L42" s="137"/>
      <c r="M42" s="136"/>
      <c r="N42" s="850"/>
      <c r="O42" s="852"/>
      <c r="P42" s="840"/>
      <c r="R42" s="845" t="s">
        <v>81</v>
      </c>
      <c r="S42" s="848"/>
      <c r="T42" s="138"/>
      <c r="U42" s="137"/>
      <c r="V42" s="137"/>
      <c r="W42" s="137"/>
      <c r="X42" s="137"/>
      <c r="Y42" s="137"/>
      <c r="Z42" s="137"/>
      <c r="AA42" s="137"/>
      <c r="AB42" s="137"/>
      <c r="AC42" s="136"/>
      <c r="AD42" s="850"/>
      <c r="AE42" s="852"/>
      <c r="AF42" s="840"/>
    </row>
    <row r="43" spans="2:32" ht="12" customHeight="1" x14ac:dyDescent="0.2">
      <c r="B43" s="846"/>
      <c r="C43" s="849"/>
      <c r="D43" s="135"/>
      <c r="E43" s="134"/>
      <c r="F43" s="134"/>
      <c r="G43" s="134"/>
      <c r="H43" s="134"/>
      <c r="I43" s="134"/>
      <c r="J43" s="134"/>
      <c r="K43" s="134"/>
      <c r="L43" s="134"/>
      <c r="M43" s="133"/>
      <c r="N43" s="851"/>
      <c r="O43" s="843"/>
      <c r="P43" s="841"/>
      <c r="R43" s="846"/>
      <c r="S43" s="849"/>
      <c r="T43" s="135"/>
      <c r="U43" s="134"/>
      <c r="V43" s="134"/>
      <c r="W43" s="134"/>
      <c r="X43" s="134"/>
      <c r="Y43" s="134"/>
      <c r="Z43" s="134"/>
      <c r="AA43" s="134"/>
      <c r="AB43" s="134"/>
      <c r="AC43" s="133"/>
      <c r="AD43" s="851"/>
      <c r="AE43" s="843"/>
      <c r="AF43" s="841"/>
    </row>
    <row r="44" spans="2:32" ht="12" customHeight="1" x14ac:dyDescent="0.2">
      <c r="B44" s="846"/>
      <c r="C44" s="849"/>
      <c r="D44" s="135"/>
      <c r="E44" s="134"/>
      <c r="F44" s="134"/>
      <c r="G44" s="134"/>
      <c r="H44" s="134"/>
      <c r="I44" s="134"/>
      <c r="J44" s="134"/>
      <c r="K44" s="134"/>
      <c r="L44" s="134"/>
      <c r="M44" s="133"/>
      <c r="N44" s="851"/>
      <c r="O44" s="843"/>
      <c r="P44" s="841"/>
      <c r="R44" s="846"/>
      <c r="S44" s="849"/>
      <c r="T44" s="135"/>
      <c r="U44" s="134"/>
      <c r="V44" s="134"/>
      <c r="W44" s="134"/>
      <c r="X44" s="134"/>
      <c r="Y44" s="134"/>
      <c r="Z44" s="134"/>
      <c r="AA44" s="134"/>
      <c r="AB44" s="134"/>
      <c r="AC44" s="133"/>
      <c r="AD44" s="851"/>
      <c r="AE44" s="843"/>
      <c r="AF44" s="841"/>
    </row>
    <row r="45" spans="2:32" ht="12" customHeight="1" x14ac:dyDescent="0.2">
      <c r="B45" s="846"/>
      <c r="C45" s="849"/>
      <c r="D45" s="135"/>
      <c r="E45" s="134"/>
      <c r="F45" s="134"/>
      <c r="G45" s="134"/>
      <c r="H45" s="134"/>
      <c r="I45" s="134"/>
      <c r="J45" s="134"/>
      <c r="K45" s="134"/>
      <c r="L45" s="134"/>
      <c r="M45" s="133"/>
      <c r="N45" s="851"/>
      <c r="O45" s="843"/>
      <c r="P45" s="841"/>
      <c r="R45" s="846"/>
      <c r="S45" s="849"/>
      <c r="T45" s="135"/>
      <c r="U45" s="134"/>
      <c r="V45" s="134"/>
      <c r="W45" s="134"/>
      <c r="X45" s="134"/>
      <c r="Y45" s="134"/>
      <c r="Z45" s="134"/>
      <c r="AA45" s="134"/>
      <c r="AB45" s="134"/>
      <c r="AC45" s="133"/>
      <c r="AD45" s="851"/>
      <c r="AE45" s="843"/>
      <c r="AF45" s="841"/>
    </row>
    <row r="46" spans="2:32" ht="12" customHeight="1" x14ac:dyDescent="0.2">
      <c r="B46" s="846"/>
      <c r="C46" s="849"/>
      <c r="D46" s="135"/>
      <c r="E46" s="134"/>
      <c r="F46" s="134"/>
      <c r="G46" s="134"/>
      <c r="H46" s="134"/>
      <c r="I46" s="134"/>
      <c r="J46" s="134"/>
      <c r="K46" s="134"/>
      <c r="L46" s="134"/>
      <c r="M46" s="133"/>
      <c r="N46" s="851"/>
      <c r="O46" s="843"/>
      <c r="P46" s="841"/>
      <c r="R46" s="846"/>
      <c r="S46" s="849"/>
      <c r="T46" s="135"/>
      <c r="U46" s="134"/>
      <c r="V46" s="134"/>
      <c r="W46" s="134"/>
      <c r="X46" s="134"/>
      <c r="Y46" s="134"/>
      <c r="Z46" s="134"/>
      <c r="AA46" s="134"/>
      <c r="AB46" s="134"/>
      <c r="AC46" s="133"/>
      <c r="AD46" s="851"/>
      <c r="AE46" s="843"/>
      <c r="AF46" s="841"/>
    </row>
    <row r="47" spans="2:32" ht="12" customHeight="1" thickBot="1" x14ac:dyDescent="0.25">
      <c r="B47" s="847"/>
      <c r="C47" s="853"/>
      <c r="D47" s="132"/>
      <c r="E47" s="131"/>
      <c r="F47" s="131"/>
      <c r="G47" s="131"/>
      <c r="H47" s="131"/>
      <c r="I47" s="131"/>
      <c r="J47" s="131"/>
      <c r="K47" s="131"/>
      <c r="L47" s="131"/>
      <c r="M47" s="130"/>
      <c r="N47" s="863"/>
      <c r="O47" s="844"/>
      <c r="P47" s="842"/>
      <c r="R47" s="847"/>
      <c r="S47" s="853"/>
      <c r="T47" s="132"/>
      <c r="U47" s="131"/>
      <c r="V47" s="131"/>
      <c r="W47" s="131"/>
      <c r="X47" s="131"/>
      <c r="Y47" s="131"/>
      <c r="Z47" s="131"/>
      <c r="AA47" s="131"/>
      <c r="AB47" s="131"/>
      <c r="AC47" s="130"/>
      <c r="AD47" s="863"/>
      <c r="AE47" s="844"/>
      <c r="AF47" s="842"/>
    </row>
    <row r="48" spans="2:32" ht="12" customHeight="1" thickTop="1" x14ac:dyDescent="0.2"/>
    <row r="49" spans="2:16" ht="12" customHeight="1" x14ac:dyDescent="0.2">
      <c r="B49" s="854" t="s">
        <v>82</v>
      </c>
      <c r="C49" s="855"/>
      <c r="D49" s="855"/>
      <c r="E49" s="855"/>
      <c r="F49" s="855"/>
      <c r="G49" s="855"/>
      <c r="H49" s="855"/>
      <c r="I49" s="855"/>
      <c r="J49" s="855"/>
      <c r="K49" s="855"/>
      <c r="L49" s="855"/>
      <c r="M49" s="855"/>
      <c r="N49" s="855"/>
      <c r="O49" s="855"/>
      <c r="P49" s="856"/>
    </row>
    <row r="50" spans="2:16" ht="12" customHeight="1" x14ac:dyDescent="0.2">
      <c r="B50" s="857"/>
      <c r="C50" s="858"/>
      <c r="D50" s="858"/>
      <c r="E50" s="858"/>
      <c r="F50" s="858"/>
      <c r="G50" s="858"/>
      <c r="H50" s="858"/>
      <c r="I50" s="858"/>
      <c r="J50" s="858"/>
      <c r="K50" s="858"/>
      <c r="L50" s="858"/>
      <c r="M50" s="858"/>
      <c r="N50" s="858"/>
      <c r="O50" s="858"/>
      <c r="P50" s="859"/>
    </row>
    <row r="51" spans="2:16" ht="12" customHeight="1" x14ac:dyDescent="0.2">
      <c r="B51" s="857"/>
      <c r="C51" s="858"/>
      <c r="D51" s="858"/>
      <c r="E51" s="858"/>
      <c r="F51" s="858"/>
      <c r="G51" s="858"/>
      <c r="H51" s="858"/>
      <c r="I51" s="858"/>
      <c r="J51" s="858"/>
      <c r="K51" s="858"/>
      <c r="L51" s="858"/>
      <c r="M51" s="858"/>
      <c r="N51" s="858"/>
      <c r="O51" s="858"/>
      <c r="P51" s="859"/>
    </row>
    <row r="52" spans="2:16" x14ac:dyDescent="0.2">
      <c r="B52" s="860"/>
      <c r="C52" s="861"/>
      <c r="D52" s="861"/>
      <c r="E52" s="861"/>
      <c r="F52" s="861"/>
      <c r="G52" s="861"/>
      <c r="H52" s="861"/>
      <c r="I52" s="861"/>
      <c r="J52" s="861"/>
      <c r="K52" s="861"/>
      <c r="L52" s="861"/>
      <c r="M52" s="861"/>
      <c r="N52" s="861"/>
      <c r="O52" s="861"/>
      <c r="P52" s="862"/>
    </row>
  </sheetData>
  <mergeCells count="83">
    <mergeCell ref="C6:C10"/>
    <mergeCell ref="C11:C15"/>
    <mergeCell ref="B6:B15"/>
    <mergeCell ref="B16:B25"/>
    <mergeCell ref="C16:C20"/>
    <mergeCell ref="C21:C25"/>
    <mergeCell ref="B26:B35"/>
    <mergeCell ref="C26:C30"/>
    <mergeCell ref="C31:C35"/>
    <mergeCell ref="C36:C38"/>
    <mergeCell ref="C39:C41"/>
    <mergeCell ref="B36:B41"/>
    <mergeCell ref="N16:N20"/>
    <mergeCell ref="O16:O20"/>
    <mergeCell ref="P16:P25"/>
    <mergeCell ref="N21:N25"/>
    <mergeCell ref="O21:O25"/>
    <mergeCell ref="N39:N41"/>
    <mergeCell ref="O36:O38"/>
    <mergeCell ref="O39:O41"/>
    <mergeCell ref="P36:P41"/>
    <mergeCell ref="B3:P3"/>
    <mergeCell ref="N26:N30"/>
    <mergeCell ref="O26:O30"/>
    <mergeCell ref="P26:P35"/>
    <mergeCell ref="N31:N35"/>
    <mergeCell ref="O31:O35"/>
    <mergeCell ref="N36:N38"/>
    <mergeCell ref="N6:N10"/>
    <mergeCell ref="N11:N15"/>
    <mergeCell ref="O6:O10"/>
    <mergeCell ref="O11:O15"/>
    <mergeCell ref="P6:P15"/>
    <mergeCell ref="R3:AF3"/>
    <mergeCell ref="R6:R15"/>
    <mergeCell ref="S6:S10"/>
    <mergeCell ref="AD6:AD10"/>
    <mergeCell ref="AE6:AE10"/>
    <mergeCell ref="AF6:AF15"/>
    <mergeCell ref="S11:S15"/>
    <mergeCell ref="AD11:AD15"/>
    <mergeCell ref="AE11:AE15"/>
    <mergeCell ref="R16:R25"/>
    <mergeCell ref="S16:S20"/>
    <mergeCell ref="AD16:AD20"/>
    <mergeCell ref="AE16:AE20"/>
    <mergeCell ref="AF16:AF25"/>
    <mergeCell ref="S21:S25"/>
    <mergeCell ref="AD21:AD25"/>
    <mergeCell ref="AE21:AE25"/>
    <mergeCell ref="R26:R35"/>
    <mergeCell ref="S26:S30"/>
    <mergeCell ref="AD26:AD30"/>
    <mergeCell ref="AE26:AE30"/>
    <mergeCell ref="AF26:AF35"/>
    <mergeCell ref="S31:S35"/>
    <mergeCell ref="AD31:AD35"/>
    <mergeCell ref="AE31:AE35"/>
    <mergeCell ref="B49:P52"/>
    <mergeCell ref="AD45:AD47"/>
    <mergeCell ref="AE45:AE47"/>
    <mergeCell ref="C45:C47"/>
    <mergeCell ref="N45:N47"/>
    <mergeCell ref="O45:O47"/>
    <mergeCell ref="B42:B47"/>
    <mergeCell ref="C42:C44"/>
    <mergeCell ref="N42:N44"/>
    <mergeCell ref="O42:O44"/>
    <mergeCell ref="P42:P47"/>
    <mergeCell ref="AF36:AF41"/>
    <mergeCell ref="S39:S41"/>
    <mergeCell ref="AD39:AD41"/>
    <mergeCell ref="AE39:AE41"/>
    <mergeCell ref="R42:R47"/>
    <mergeCell ref="S42:S44"/>
    <mergeCell ref="AD42:AD44"/>
    <mergeCell ref="AE42:AE44"/>
    <mergeCell ref="AF42:AF47"/>
    <mergeCell ref="S45:S47"/>
    <mergeCell ref="R36:R41"/>
    <mergeCell ref="S36:S38"/>
    <mergeCell ref="AD36:AD38"/>
    <mergeCell ref="AE36:AE38"/>
  </mergeCells>
  <phoneticPr fontId="13"/>
  <printOptions horizontalCentered="1" verticalCentered="1"/>
  <pageMargins left="0" right="0" top="0" bottom="0" header="0" footer="0"/>
  <pageSetup paperSize="9" scale="79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pageSetUpPr fitToPage="1"/>
  </sheetPr>
  <dimension ref="B1:AF51"/>
  <sheetViews>
    <sheetView workbookViewId="0"/>
  </sheetViews>
  <sheetFormatPr defaultColWidth="9" defaultRowHeight="13.2" x14ac:dyDescent="0.2"/>
  <cols>
    <col min="1" max="1" width="9" style="129"/>
    <col min="2" max="3" width="9.6640625" style="129" customWidth="1"/>
    <col min="4" max="13" width="2" style="129" customWidth="1"/>
    <col min="14" max="15" width="9.6640625" style="129" customWidth="1"/>
    <col min="16" max="16" width="10.109375" style="129" customWidth="1"/>
    <col min="17" max="17" width="30.6640625" style="129" customWidth="1"/>
    <col min="18" max="19" width="9.6640625" style="129" customWidth="1"/>
    <col min="20" max="29" width="2" style="129" customWidth="1"/>
    <col min="30" max="31" width="9.6640625" style="129" customWidth="1"/>
    <col min="32" max="32" width="10.109375" style="129" customWidth="1"/>
    <col min="33" max="52" width="2" style="129" customWidth="1"/>
    <col min="53" max="16384" width="9" style="129"/>
  </cols>
  <sheetData>
    <row r="1" spans="2:32" ht="26.25" customHeight="1" x14ac:dyDescent="0.2">
      <c r="B1" s="129" t="s">
        <v>5</v>
      </c>
      <c r="C1" s="230" t="s">
        <v>83</v>
      </c>
      <c r="R1" s="129" t="s">
        <v>5</v>
      </c>
      <c r="S1" s="230" t="s">
        <v>83</v>
      </c>
    </row>
    <row r="2" spans="2:32" ht="26.25" customHeight="1" x14ac:dyDescent="0.2"/>
    <row r="3" spans="2:32" ht="31.5" customHeight="1" x14ac:dyDescent="0.2">
      <c r="B3" s="868" t="s">
        <v>84</v>
      </c>
      <c r="C3" s="869"/>
      <c r="D3" s="869"/>
      <c r="E3" s="869"/>
      <c r="F3" s="869"/>
      <c r="G3" s="869"/>
      <c r="H3" s="869"/>
      <c r="I3" s="869"/>
      <c r="J3" s="869"/>
      <c r="K3" s="869"/>
      <c r="L3" s="869"/>
      <c r="M3" s="869"/>
      <c r="N3" s="869"/>
      <c r="O3" s="869"/>
      <c r="P3" s="870"/>
      <c r="R3" s="868" t="s">
        <v>85</v>
      </c>
      <c r="S3" s="869"/>
      <c r="T3" s="869"/>
      <c r="U3" s="869"/>
      <c r="V3" s="869"/>
      <c r="W3" s="869"/>
      <c r="X3" s="869"/>
      <c r="Y3" s="869"/>
      <c r="Z3" s="869"/>
      <c r="AA3" s="869"/>
      <c r="AB3" s="869"/>
      <c r="AC3" s="869"/>
      <c r="AD3" s="869"/>
      <c r="AE3" s="869"/>
      <c r="AF3" s="870"/>
    </row>
    <row r="4" spans="2:32" ht="39.75" customHeight="1" thickBot="1" x14ac:dyDescent="0.25"/>
    <row r="5" spans="2:32" ht="24.75" customHeight="1" thickTop="1" thickBot="1" x14ac:dyDescent="0.25">
      <c r="B5" s="199" t="s">
        <v>72</v>
      </c>
      <c r="C5" s="199" t="s">
        <v>73</v>
      </c>
      <c r="D5" s="198">
        <v>1</v>
      </c>
      <c r="E5" s="195">
        <v>2</v>
      </c>
      <c r="F5" s="195">
        <v>3</v>
      </c>
      <c r="G5" s="195">
        <v>4</v>
      </c>
      <c r="H5" s="197">
        <v>5</v>
      </c>
      <c r="I5" s="196">
        <v>6</v>
      </c>
      <c r="J5" s="195">
        <v>7</v>
      </c>
      <c r="K5" s="195">
        <v>8</v>
      </c>
      <c r="L5" s="195">
        <v>9</v>
      </c>
      <c r="M5" s="194">
        <v>0</v>
      </c>
      <c r="N5" s="193" t="s">
        <v>74</v>
      </c>
      <c r="O5" s="192" t="s">
        <v>75</v>
      </c>
      <c r="P5" s="191" t="s">
        <v>76</v>
      </c>
      <c r="R5" s="199" t="s">
        <v>72</v>
      </c>
      <c r="S5" s="199" t="s">
        <v>73</v>
      </c>
      <c r="T5" s="198">
        <v>1</v>
      </c>
      <c r="U5" s="195">
        <v>2</v>
      </c>
      <c r="V5" s="195">
        <v>3</v>
      </c>
      <c r="W5" s="195">
        <v>4</v>
      </c>
      <c r="X5" s="197">
        <v>5</v>
      </c>
      <c r="Y5" s="196">
        <v>6</v>
      </c>
      <c r="Z5" s="195">
        <v>7</v>
      </c>
      <c r="AA5" s="195">
        <v>8</v>
      </c>
      <c r="AB5" s="195">
        <v>9</v>
      </c>
      <c r="AC5" s="194">
        <v>0</v>
      </c>
      <c r="AD5" s="193" t="s">
        <v>74</v>
      </c>
      <c r="AE5" s="192" t="s">
        <v>75</v>
      </c>
      <c r="AF5" s="191" t="s">
        <v>76</v>
      </c>
    </row>
    <row r="6" spans="2:32" ht="12" customHeight="1" thickTop="1" x14ac:dyDescent="0.2">
      <c r="B6" s="864" t="s">
        <v>77</v>
      </c>
      <c r="C6" s="889">
        <v>33</v>
      </c>
      <c r="D6" s="160"/>
      <c r="E6" s="159"/>
      <c r="F6" s="159"/>
      <c r="G6" s="159"/>
      <c r="H6" s="190"/>
      <c r="I6" s="189"/>
      <c r="J6" s="159"/>
      <c r="K6" s="159"/>
      <c r="L6" s="159"/>
      <c r="M6" s="188"/>
      <c r="N6" s="885">
        <v>12</v>
      </c>
      <c r="O6" s="875">
        <v>1</v>
      </c>
      <c r="P6" s="877">
        <v>13</v>
      </c>
      <c r="R6" s="864" t="s">
        <v>77</v>
      </c>
      <c r="S6" s="889">
        <v>55</v>
      </c>
      <c r="T6" s="160"/>
      <c r="U6" s="159"/>
      <c r="V6" s="159"/>
      <c r="W6" s="159"/>
      <c r="X6" s="190"/>
      <c r="Y6" s="189"/>
      <c r="Z6" s="159"/>
      <c r="AA6" s="159"/>
      <c r="AB6" s="159"/>
      <c r="AC6" s="188"/>
      <c r="AD6" s="885">
        <v>16</v>
      </c>
      <c r="AE6" s="875">
        <v>0</v>
      </c>
      <c r="AF6" s="877">
        <v>16</v>
      </c>
    </row>
    <row r="7" spans="2:32" ht="12" customHeight="1" x14ac:dyDescent="0.2">
      <c r="B7" s="865"/>
      <c r="C7" s="884"/>
      <c r="D7" s="171"/>
      <c r="E7" s="168"/>
      <c r="F7" s="145"/>
      <c r="G7" s="145"/>
      <c r="H7" s="147"/>
      <c r="I7" s="146"/>
      <c r="J7" s="145"/>
      <c r="K7" s="145"/>
      <c r="L7" s="145"/>
      <c r="M7" s="144"/>
      <c r="N7" s="886"/>
      <c r="O7" s="876"/>
      <c r="P7" s="878"/>
      <c r="R7" s="865"/>
      <c r="S7" s="884"/>
      <c r="T7" s="171"/>
      <c r="U7" s="168"/>
      <c r="V7" s="168"/>
      <c r="W7" s="168"/>
      <c r="X7" s="170"/>
      <c r="Y7" s="169"/>
      <c r="Z7" s="145"/>
      <c r="AA7" s="145"/>
      <c r="AB7" s="145"/>
      <c r="AC7" s="144"/>
      <c r="AD7" s="886"/>
      <c r="AE7" s="876"/>
      <c r="AF7" s="878"/>
    </row>
    <row r="8" spans="2:32" ht="12" customHeight="1" x14ac:dyDescent="0.2">
      <c r="B8" s="865"/>
      <c r="C8" s="884"/>
      <c r="D8" s="148"/>
      <c r="E8" s="145"/>
      <c r="F8" s="145"/>
      <c r="G8" s="145"/>
      <c r="H8" s="147"/>
      <c r="I8" s="146"/>
      <c r="J8" s="145"/>
      <c r="K8" s="145"/>
      <c r="L8" s="145"/>
      <c r="M8" s="144"/>
      <c r="N8" s="886"/>
      <c r="O8" s="876"/>
      <c r="P8" s="878"/>
      <c r="R8" s="865"/>
      <c r="S8" s="884"/>
      <c r="T8" s="148"/>
      <c r="U8" s="145"/>
      <c r="V8" s="145"/>
      <c r="W8" s="145"/>
      <c r="X8" s="147"/>
      <c r="Y8" s="146"/>
      <c r="Z8" s="145"/>
      <c r="AA8" s="145"/>
      <c r="AB8" s="145"/>
      <c r="AC8" s="144"/>
      <c r="AD8" s="886"/>
      <c r="AE8" s="876"/>
      <c r="AF8" s="878"/>
    </row>
    <row r="9" spans="2:32" ht="12" customHeight="1" x14ac:dyDescent="0.2">
      <c r="B9" s="865"/>
      <c r="C9" s="884"/>
      <c r="D9" s="148"/>
      <c r="E9" s="145"/>
      <c r="F9" s="145"/>
      <c r="G9" s="145"/>
      <c r="H9" s="147"/>
      <c r="I9" s="146"/>
      <c r="J9" s="145"/>
      <c r="K9" s="145"/>
      <c r="L9" s="145"/>
      <c r="M9" s="144"/>
      <c r="N9" s="886"/>
      <c r="O9" s="876"/>
      <c r="P9" s="878"/>
      <c r="R9" s="865"/>
      <c r="S9" s="884"/>
      <c r="T9" s="148"/>
      <c r="U9" s="145"/>
      <c r="V9" s="145"/>
      <c r="W9" s="145"/>
      <c r="X9" s="147"/>
      <c r="Y9" s="146"/>
      <c r="Z9" s="145"/>
      <c r="AA9" s="145"/>
      <c r="AB9" s="145"/>
      <c r="AC9" s="144"/>
      <c r="AD9" s="886"/>
      <c r="AE9" s="876"/>
      <c r="AF9" s="878"/>
    </row>
    <row r="10" spans="2:32" ht="12" customHeight="1" x14ac:dyDescent="0.2">
      <c r="B10" s="865"/>
      <c r="C10" s="884"/>
      <c r="D10" s="177"/>
      <c r="E10" s="174"/>
      <c r="F10" s="174"/>
      <c r="G10" s="174"/>
      <c r="H10" s="176"/>
      <c r="I10" s="175"/>
      <c r="J10" s="174"/>
      <c r="K10" s="174"/>
      <c r="L10" s="174"/>
      <c r="M10" s="173"/>
      <c r="N10" s="886"/>
      <c r="O10" s="876"/>
      <c r="P10" s="878"/>
      <c r="R10" s="865"/>
      <c r="S10" s="884"/>
      <c r="T10" s="177"/>
      <c r="U10" s="174"/>
      <c r="V10" s="174"/>
      <c r="W10" s="174"/>
      <c r="X10" s="176"/>
      <c r="Y10" s="175"/>
      <c r="Z10" s="174"/>
      <c r="AA10" s="174"/>
      <c r="AB10" s="174"/>
      <c r="AC10" s="173"/>
      <c r="AD10" s="886"/>
      <c r="AE10" s="876"/>
      <c r="AF10" s="878"/>
    </row>
    <row r="11" spans="2:32" ht="12" customHeight="1" x14ac:dyDescent="0.2">
      <c r="B11" s="865"/>
      <c r="C11" s="884" t="s">
        <v>86</v>
      </c>
      <c r="D11" s="187"/>
      <c r="E11" s="184"/>
      <c r="F11" s="184"/>
      <c r="G11" s="184"/>
      <c r="H11" s="186"/>
      <c r="I11" s="185"/>
      <c r="J11" s="184"/>
      <c r="K11" s="184"/>
      <c r="L11" s="184"/>
      <c r="M11" s="183"/>
      <c r="N11" s="886" t="s">
        <v>86</v>
      </c>
      <c r="O11" s="876" t="s">
        <v>86</v>
      </c>
      <c r="P11" s="878"/>
      <c r="R11" s="865"/>
      <c r="S11" s="884" t="s">
        <v>86</v>
      </c>
      <c r="T11" s="187"/>
      <c r="U11" s="184"/>
      <c r="V11" s="184"/>
      <c r="W11" s="184"/>
      <c r="X11" s="186"/>
      <c r="Y11" s="185"/>
      <c r="Z11" s="184"/>
      <c r="AA11" s="184"/>
      <c r="AB11" s="184"/>
      <c r="AC11" s="183"/>
      <c r="AD11" s="886" t="s">
        <v>86</v>
      </c>
      <c r="AE11" s="876" t="s">
        <v>86</v>
      </c>
      <c r="AF11" s="878"/>
    </row>
    <row r="12" spans="2:32" ht="12" customHeight="1" x14ac:dyDescent="0.2">
      <c r="B12" s="865"/>
      <c r="C12" s="884"/>
      <c r="D12" s="148"/>
      <c r="E12" s="145"/>
      <c r="F12" s="145"/>
      <c r="G12" s="145"/>
      <c r="H12" s="147"/>
      <c r="I12" s="146"/>
      <c r="J12" s="145"/>
      <c r="K12" s="145"/>
      <c r="L12" s="145"/>
      <c r="M12" s="144"/>
      <c r="N12" s="886"/>
      <c r="O12" s="876"/>
      <c r="P12" s="878"/>
      <c r="R12" s="865"/>
      <c r="S12" s="884"/>
      <c r="T12" s="148"/>
      <c r="U12" s="145"/>
      <c r="V12" s="145"/>
      <c r="W12" s="145"/>
      <c r="X12" s="147"/>
      <c r="Y12" s="146"/>
      <c r="Z12" s="145"/>
      <c r="AA12" s="145"/>
      <c r="AB12" s="145"/>
      <c r="AC12" s="144"/>
      <c r="AD12" s="886"/>
      <c r="AE12" s="876"/>
      <c r="AF12" s="878"/>
    </row>
    <row r="13" spans="2:32" ht="12" customHeight="1" x14ac:dyDescent="0.2">
      <c r="B13" s="865"/>
      <c r="C13" s="884"/>
      <c r="D13" s="148"/>
      <c r="E13" s="145"/>
      <c r="F13" s="145"/>
      <c r="G13" s="145"/>
      <c r="H13" s="147"/>
      <c r="I13" s="146"/>
      <c r="J13" s="145"/>
      <c r="K13" s="145"/>
      <c r="L13" s="145"/>
      <c r="M13" s="144"/>
      <c r="N13" s="886"/>
      <c r="O13" s="876"/>
      <c r="P13" s="878"/>
      <c r="R13" s="865"/>
      <c r="S13" s="884"/>
      <c r="T13" s="148"/>
      <c r="U13" s="145"/>
      <c r="V13" s="145"/>
      <c r="W13" s="145"/>
      <c r="X13" s="147"/>
      <c r="Y13" s="146"/>
      <c r="Z13" s="145"/>
      <c r="AA13" s="145"/>
      <c r="AB13" s="145"/>
      <c r="AC13" s="144"/>
      <c r="AD13" s="886"/>
      <c r="AE13" s="876"/>
      <c r="AF13" s="878"/>
    </row>
    <row r="14" spans="2:32" ht="12" customHeight="1" x14ac:dyDescent="0.2">
      <c r="B14" s="865"/>
      <c r="C14" s="884"/>
      <c r="D14" s="148"/>
      <c r="E14" s="145"/>
      <c r="F14" s="145"/>
      <c r="G14" s="145"/>
      <c r="H14" s="147"/>
      <c r="I14" s="146"/>
      <c r="J14" s="145"/>
      <c r="K14" s="145"/>
      <c r="L14" s="145"/>
      <c r="M14" s="144"/>
      <c r="N14" s="886"/>
      <c r="O14" s="876"/>
      <c r="P14" s="878"/>
      <c r="R14" s="865"/>
      <c r="S14" s="884"/>
      <c r="T14" s="148"/>
      <c r="U14" s="145"/>
      <c r="V14" s="145"/>
      <c r="W14" s="145"/>
      <c r="X14" s="147"/>
      <c r="Y14" s="146"/>
      <c r="Z14" s="145"/>
      <c r="AA14" s="145"/>
      <c r="AB14" s="145"/>
      <c r="AC14" s="144"/>
      <c r="AD14" s="886"/>
      <c r="AE14" s="876"/>
      <c r="AF14" s="878"/>
    </row>
    <row r="15" spans="2:32" ht="12" customHeight="1" thickBot="1" x14ac:dyDescent="0.25">
      <c r="B15" s="866"/>
      <c r="C15" s="887"/>
      <c r="D15" s="166"/>
      <c r="E15" s="163"/>
      <c r="F15" s="163"/>
      <c r="G15" s="163"/>
      <c r="H15" s="165"/>
      <c r="I15" s="164"/>
      <c r="J15" s="163"/>
      <c r="K15" s="163"/>
      <c r="L15" s="163"/>
      <c r="M15" s="162"/>
      <c r="N15" s="888"/>
      <c r="O15" s="882"/>
      <c r="P15" s="879"/>
      <c r="R15" s="866"/>
      <c r="S15" s="887"/>
      <c r="T15" s="166"/>
      <c r="U15" s="163"/>
      <c r="V15" s="163"/>
      <c r="W15" s="163"/>
      <c r="X15" s="165"/>
      <c r="Y15" s="164"/>
      <c r="Z15" s="163"/>
      <c r="AA15" s="163"/>
      <c r="AB15" s="163"/>
      <c r="AC15" s="162"/>
      <c r="AD15" s="888"/>
      <c r="AE15" s="882"/>
      <c r="AF15" s="879"/>
    </row>
    <row r="16" spans="2:32" ht="12" customHeight="1" thickTop="1" x14ac:dyDescent="0.2">
      <c r="B16" s="864" t="s">
        <v>78</v>
      </c>
      <c r="C16" s="889">
        <v>33</v>
      </c>
      <c r="D16" s="160"/>
      <c r="E16" s="159"/>
      <c r="F16" s="159"/>
      <c r="G16" s="159"/>
      <c r="H16" s="190"/>
      <c r="I16" s="189"/>
      <c r="J16" s="159"/>
      <c r="K16" s="159"/>
      <c r="L16" s="159"/>
      <c r="M16" s="188"/>
      <c r="N16" s="885">
        <v>16</v>
      </c>
      <c r="O16" s="875">
        <v>0</v>
      </c>
      <c r="P16" s="877">
        <v>16</v>
      </c>
      <c r="R16" s="864" t="s">
        <v>78</v>
      </c>
      <c r="S16" s="889">
        <v>55</v>
      </c>
      <c r="T16" s="160"/>
      <c r="U16" s="159"/>
      <c r="V16" s="159"/>
      <c r="W16" s="159"/>
      <c r="X16" s="190"/>
      <c r="Y16" s="189"/>
      <c r="Z16" s="159"/>
      <c r="AA16" s="159"/>
      <c r="AB16" s="159"/>
      <c r="AC16" s="188"/>
      <c r="AD16" s="885">
        <v>15</v>
      </c>
      <c r="AE16" s="875">
        <v>1</v>
      </c>
      <c r="AF16" s="877">
        <v>25</v>
      </c>
    </row>
    <row r="17" spans="2:32" ht="12" customHeight="1" x14ac:dyDescent="0.2">
      <c r="B17" s="865"/>
      <c r="C17" s="884"/>
      <c r="D17" s="171"/>
      <c r="E17" s="168"/>
      <c r="F17" s="168"/>
      <c r="G17" s="168"/>
      <c r="H17" s="170"/>
      <c r="I17" s="169"/>
      <c r="J17" s="145"/>
      <c r="K17" s="145"/>
      <c r="L17" s="145"/>
      <c r="M17" s="144"/>
      <c r="N17" s="886"/>
      <c r="O17" s="876"/>
      <c r="P17" s="878"/>
      <c r="R17" s="865"/>
      <c r="S17" s="884"/>
      <c r="T17" s="171"/>
      <c r="U17" s="168"/>
      <c r="V17" s="168"/>
      <c r="W17" s="168"/>
      <c r="X17" s="170"/>
      <c r="Y17" s="146"/>
      <c r="Z17" s="145"/>
      <c r="AA17" s="145"/>
      <c r="AB17" s="145"/>
      <c r="AC17" s="144"/>
      <c r="AD17" s="886"/>
      <c r="AE17" s="876"/>
      <c r="AF17" s="878"/>
    </row>
    <row r="18" spans="2:32" ht="12" customHeight="1" x14ac:dyDescent="0.2">
      <c r="B18" s="865"/>
      <c r="C18" s="884"/>
      <c r="D18" s="148"/>
      <c r="E18" s="145"/>
      <c r="F18" s="145"/>
      <c r="G18" s="145"/>
      <c r="H18" s="147"/>
      <c r="I18" s="146"/>
      <c r="J18" s="145"/>
      <c r="K18" s="145"/>
      <c r="L18" s="145"/>
      <c r="M18" s="144"/>
      <c r="N18" s="886"/>
      <c r="O18" s="876"/>
      <c r="P18" s="878"/>
      <c r="R18" s="865"/>
      <c r="S18" s="884"/>
      <c r="T18" s="148"/>
      <c r="U18" s="145"/>
      <c r="V18" s="145"/>
      <c r="W18" s="145"/>
      <c r="X18" s="147"/>
      <c r="Y18" s="146"/>
      <c r="Z18" s="145"/>
      <c r="AA18" s="145"/>
      <c r="AB18" s="145"/>
      <c r="AC18" s="144"/>
      <c r="AD18" s="886"/>
      <c r="AE18" s="876"/>
      <c r="AF18" s="878"/>
    </row>
    <row r="19" spans="2:32" ht="12" customHeight="1" x14ac:dyDescent="0.2">
      <c r="B19" s="865"/>
      <c r="C19" s="884"/>
      <c r="D19" s="148"/>
      <c r="E19" s="145"/>
      <c r="F19" s="145"/>
      <c r="G19" s="145"/>
      <c r="H19" s="147"/>
      <c r="I19" s="146"/>
      <c r="J19" s="145"/>
      <c r="K19" s="145"/>
      <c r="L19" s="145"/>
      <c r="M19" s="144"/>
      <c r="N19" s="886"/>
      <c r="O19" s="876"/>
      <c r="P19" s="878"/>
      <c r="R19" s="865"/>
      <c r="S19" s="884"/>
      <c r="T19" s="148"/>
      <c r="U19" s="145"/>
      <c r="V19" s="145"/>
      <c r="W19" s="145"/>
      <c r="X19" s="147"/>
      <c r="Y19" s="146"/>
      <c r="Z19" s="145"/>
      <c r="AA19" s="145"/>
      <c r="AB19" s="145"/>
      <c r="AC19" s="144"/>
      <c r="AD19" s="886"/>
      <c r="AE19" s="876"/>
      <c r="AF19" s="878"/>
    </row>
    <row r="20" spans="2:32" ht="12" customHeight="1" x14ac:dyDescent="0.2">
      <c r="B20" s="865"/>
      <c r="C20" s="884"/>
      <c r="D20" s="177"/>
      <c r="E20" s="174"/>
      <c r="F20" s="174"/>
      <c r="G20" s="174"/>
      <c r="H20" s="176"/>
      <c r="I20" s="175"/>
      <c r="J20" s="174"/>
      <c r="K20" s="174"/>
      <c r="L20" s="174"/>
      <c r="M20" s="173"/>
      <c r="N20" s="886"/>
      <c r="O20" s="876"/>
      <c r="P20" s="878"/>
      <c r="R20" s="865"/>
      <c r="S20" s="884"/>
      <c r="T20" s="177"/>
      <c r="U20" s="174"/>
      <c r="V20" s="174"/>
      <c r="W20" s="174"/>
      <c r="X20" s="176"/>
      <c r="Y20" s="175"/>
      <c r="Z20" s="174"/>
      <c r="AA20" s="174"/>
      <c r="AB20" s="174"/>
      <c r="AC20" s="173"/>
      <c r="AD20" s="886"/>
      <c r="AE20" s="876"/>
      <c r="AF20" s="878"/>
    </row>
    <row r="21" spans="2:32" ht="12" customHeight="1" x14ac:dyDescent="0.2">
      <c r="B21" s="865"/>
      <c r="C21" s="884" t="s">
        <v>86</v>
      </c>
      <c r="D21" s="187"/>
      <c r="E21" s="184"/>
      <c r="F21" s="184"/>
      <c r="G21" s="184"/>
      <c r="H21" s="186"/>
      <c r="I21" s="185"/>
      <c r="J21" s="184"/>
      <c r="K21" s="184"/>
      <c r="L21" s="184"/>
      <c r="M21" s="183"/>
      <c r="N21" s="886" t="s">
        <v>86</v>
      </c>
      <c r="O21" s="876" t="s">
        <v>86</v>
      </c>
      <c r="P21" s="878"/>
      <c r="R21" s="865"/>
      <c r="S21" s="884">
        <v>30</v>
      </c>
      <c r="T21" s="154"/>
      <c r="U21" s="153"/>
      <c r="V21" s="153"/>
      <c r="W21" s="153"/>
      <c r="X21" s="152"/>
      <c r="Y21" s="151"/>
      <c r="Z21" s="153"/>
      <c r="AA21" s="153"/>
      <c r="AB21" s="184"/>
      <c r="AC21" s="183"/>
      <c r="AD21" s="886">
        <v>8</v>
      </c>
      <c r="AE21" s="876">
        <v>1</v>
      </c>
      <c r="AF21" s="878"/>
    </row>
    <row r="22" spans="2:32" ht="12" customHeight="1" x14ac:dyDescent="0.2">
      <c r="B22" s="865"/>
      <c r="C22" s="884"/>
      <c r="D22" s="148"/>
      <c r="E22" s="145"/>
      <c r="F22" s="145"/>
      <c r="G22" s="145"/>
      <c r="H22" s="147"/>
      <c r="I22" s="146"/>
      <c r="J22" s="145"/>
      <c r="K22" s="145"/>
      <c r="L22" s="145"/>
      <c r="M22" s="144"/>
      <c r="N22" s="886"/>
      <c r="O22" s="876"/>
      <c r="P22" s="878"/>
      <c r="R22" s="865"/>
      <c r="S22" s="884"/>
      <c r="T22" s="148"/>
      <c r="U22" s="145"/>
      <c r="V22" s="145"/>
      <c r="W22" s="145"/>
      <c r="X22" s="147"/>
      <c r="Y22" s="146"/>
      <c r="Z22" s="145"/>
      <c r="AA22" s="145"/>
      <c r="AB22" s="145"/>
      <c r="AC22" s="144"/>
      <c r="AD22" s="886"/>
      <c r="AE22" s="876"/>
      <c r="AF22" s="878"/>
    </row>
    <row r="23" spans="2:32" ht="12" customHeight="1" x14ac:dyDescent="0.2">
      <c r="B23" s="865"/>
      <c r="C23" s="884"/>
      <c r="D23" s="148"/>
      <c r="E23" s="145"/>
      <c r="F23" s="145"/>
      <c r="G23" s="145"/>
      <c r="H23" s="147"/>
      <c r="I23" s="146"/>
      <c r="J23" s="145"/>
      <c r="K23" s="145"/>
      <c r="L23" s="145"/>
      <c r="M23" s="144"/>
      <c r="N23" s="886"/>
      <c r="O23" s="876"/>
      <c r="P23" s="878"/>
      <c r="R23" s="865"/>
      <c r="S23" s="884"/>
      <c r="T23" s="148"/>
      <c r="U23" s="145"/>
      <c r="V23" s="145"/>
      <c r="W23" s="145"/>
      <c r="X23" s="147"/>
      <c r="Y23" s="146"/>
      <c r="Z23" s="145"/>
      <c r="AA23" s="145"/>
      <c r="AB23" s="145"/>
      <c r="AC23" s="144"/>
      <c r="AD23" s="886"/>
      <c r="AE23" s="876"/>
      <c r="AF23" s="878"/>
    </row>
    <row r="24" spans="2:32" ht="12" customHeight="1" x14ac:dyDescent="0.2">
      <c r="B24" s="865"/>
      <c r="C24" s="884"/>
      <c r="D24" s="148"/>
      <c r="E24" s="145"/>
      <c r="F24" s="145"/>
      <c r="G24" s="145"/>
      <c r="H24" s="147"/>
      <c r="I24" s="146"/>
      <c r="J24" s="145"/>
      <c r="K24" s="145"/>
      <c r="L24" s="145"/>
      <c r="M24" s="144"/>
      <c r="N24" s="886"/>
      <c r="O24" s="876"/>
      <c r="P24" s="878"/>
      <c r="R24" s="865"/>
      <c r="S24" s="884"/>
      <c r="T24" s="148"/>
      <c r="U24" s="145"/>
      <c r="V24" s="145"/>
      <c r="W24" s="145"/>
      <c r="X24" s="147"/>
      <c r="Y24" s="146"/>
      <c r="Z24" s="145"/>
      <c r="AA24" s="145"/>
      <c r="AB24" s="145"/>
      <c r="AC24" s="144"/>
      <c r="AD24" s="886"/>
      <c r="AE24" s="876"/>
      <c r="AF24" s="878"/>
    </row>
    <row r="25" spans="2:32" ht="12" customHeight="1" thickBot="1" x14ac:dyDescent="0.25">
      <c r="B25" s="866"/>
      <c r="C25" s="887"/>
      <c r="D25" s="166"/>
      <c r="E25" s="163"/>
      <c r="F25" s="163"/>
      <c r="G25" s="163"/>
      <c r="H25" s="165"/>
      <c r="I25" s="164"/>
      <c r="J25" s="163"/>
      <c r="K25" s="163"/>
      <c r="L25" s="163"/>
      <c r="M25" s="162"/>
      <c r="N25" s="888"/>
      <c r="O25" s="882"/>
      <c r="P25" s="879"/>
      <c r="R25" s="866"/>
      <c r="S25" s="887"/>
      <c r="T25" s="166"/>
      <c r="U25" s="163"/>
      <c r="V25" s="163"/>
      <c r="W25" s="163"/>
      <c r="X25" s="165"/>
      <c r="Y25" s="164"/>
      <c r="Z25" s="163"/>
      <c r="AA25" s="163"/>
      <c r="AB25" s="163"/>
      <c r="AC25" s="162"/>
      <c r="AD25" s="888"/>
      <c r="AE25" s="882"/>
      <c r="AF25" s="879"/>
    </row>
    <row r="26" spans="2:32" ht="12" customHeight="1" thickTop="1" x14ac:dyDescent="0.2">
      <c r="B26" s="864" t="s">
        <v>79</v>
      </c>
      <c r="C26" s="889" t="s">
        <v>86</v>
      </c>
      <c r="D26" s="182"/>
      <c r="E26" s="179"/>
      <c r="F26" s="179"/>
      <c r="G26" s="179"/>
      <c r="H26" s="181"/>
      <c r="I26" s="180"/>
      <c r="J26" s="179"/>
      <c r="K26" s="179"/>
      <c r="L26" s="179"/>
      <c r="M26" s="178"/>
      <c r="N26" s="885" t="s">
        <v>86</v>
      </c>
      <c r="O26" s="875" t="s">
        <v>86</v>
      </c>
      <c r="P26" s="877">
        <v>20</v>
      </c>
      <c r="R26" s="864" t="s">
        <v>79</v>
      </c>
      <c r="S26" s="889" t="s">
        <v>86</v>
      </c>
      <c r="T26" s="182"/>
      <c r="U26" s="179"/>
      <c r="V26" s="179"/>
      <c r="W26" s="179"/>
      <c r="X26" s="181"/>
      <c r="Y26" s="180"/>
      <c r="Z26" s="179"/>
      <c r="AA26" s="179"/>
      <c r="AB26" s="179"/>
      <c r="AC26" s="178"/>
      <c r="AD26" s="885" t="s">
        <v>86</v>
      </c>
      <c r="AE26" s="875" t="s">
        <v>86</v>
      </c>
      <c r="AF26" s="877">
        <v>21</v>
      </c>
    </row>
    <row r="27" spans="2:32" ht="12" customHeight="1" x14ac:dyDescent="0.2">
      <c r="B27" s="865"/>
      <c r="C27" s="884"/>
      <c r="D27" s="148"/>
      <c r="E27" s="145"/>
      <c r="F27" s="145"/>
      <c r="G27" s="145"/>
      <c r="H27" s="147"/>
      <c r="I27" s="146"/>
      <c r="J27" s="145"/>
      <c r="K27" s="145"/>
      <c r="L27" s="145"/>
      <c r="M27" s="144"/>
      <c r="N27" s="886"/>
      <c r="O27" s="876"/>
      <c r="P27" s="878"/>
      <c r="R27" s="865"/>
      <c r="S27" s="884"/>
      <c r="T27" s="148"/>
      <c r="U27" s="145"/>
      <c r="V27" s="145"/>
      <c r="W27" s="145"/>
      <c r="X27" s="147"/>
      <c r="Y27" s="146"/>
      <c r="Z27" s="145"/>
      <c r="AA27" s="145"/>
      <c r="AB27" s="145"/>
      <c r="AC27" s="144"/>
      <c r="AD27" s="886"/>
      <c r="AE27" s="876"/>
      <c r="AF27" s="878"/>
    </row>
    <row r="28" spans="2:32" ht="12" customHeight="1" x14ac:dyDescent="0.2">
      <c r="B28" s="865"/>
      <c r="C28" s="884"/>
      <c r="D28" s="148"/>
      <c r="E28" s="145"/>
      <c r="F28" s="145"/>
      <c r="G28" s="145"/>
      <c r="H28" s="147"/>
      <c r="I28" s="146"/>
      <c r="J28" s="145"/>
      <c r="K28" s="145"/>
      <c r="L28" s="145"/>
      <c r="M28" s="144"/>
      <c r="N28" s="886"/>
      <c r="O28" s="876"/>
      <c r="P28" s="878"/>
      <c r="R28" s="865"/>
      <c r="S28" s="884"/>
      <c r="T28" s="148"/>
      <c r="U28" s="145"/>
      <c r="V28" s="145"/>
      <c r="W28" s="145"/>
      <c r="X28" s="147"/>
      <c r="Y28" s="146"/>
      <c r="Z28" s="145"/>
      <c r="AA28" s="145"/>
      <c r="AB28" s="145"/>
      <c r="AC28" s="144"/>
      <c r="AD28" s="886"/>
      <c r="AE28" s="876"/>
      <c r="AF28" s="878"/>
    </row>
    <row r="29" spans="2:32" ht="12" customHeight="1" x14ac:dyDescent="0.2">
      <c r="B29" s="865"/>
      <c r="C29" s="884"/>
      <c r="D29" s="148"/>
      <c r="E29" s="145"/>
      <c r="F29" s="145"/>
      <c r="G29" s="145"/>
      <c r="H29" s="147"/>
      <c r="I29" s="146"/>
      <c r="J29" s="145"/>
      <c r="K29" s="145"/>
      <c r="L29" s="145"/>
      <c r="M29" s="144"/>
      <c r="N29" s="886"/>
      <c r="O29" s="876"/>
      <c r="P29" s="878"/>
      <c r="R29" s="865"/>
      <c r="S29" s="884"/>
      <c r="T29" s="148"/>
      <c r="U29" s="145"/>
      <c r="V29" s="145"/>
      <c r="W29" s="145"/>
      <c r="X29" s="147"/>
      <c r="Y29" s="146"/>
      <c r="Z29" s="145"/>
      <c r="AA29" s="145"/>
      <c r="AB29" s="145"/>
      <c r="AC29" s="144"/>
      <c r="AD29" s="886"/>
      <c r="AE29" s="876"/>
      <c r="AF29" s="878"/>
    </row>
    <row r="30" spans="2:32" ht="12" customHeight="1" x14ac:dyDescent="0.2">
      <c r="B30" s="865"/>
      <c r="C30" s="884"/>
      <c r="D30" s="177"/>
      <c r="E30" s="174"/>
      <c r="F30" s="174"/>
      <c r="G30" s="174"/>
      <c r="H30" s="176"/>
      <c r="I30" s="175"/>
      <c r="J30" s="174"/>
      <c r="K30" s="174"/>
      <c r="L30" s="174"/>
      <c r="M30" s="173"/>
      <c r="N30" s="886"/>
      <c r="O30" s="876"/>
      <c r="P30" s="878"/>
      <c r="R30" s="865"/>
      <c r="S30" s="884"/>
      <c r="T30" s="177"/>
      <c r="U30" s="174"/>
      <c r="V30" s="174"/>
      <c r="W30" s="174"/>
      <c r="X30" s="176"/>
      <c r="Y30" s="175"/>
      <c r="Z30" s="174"/>
      <c r="AA30" s="174"/>
      <c r="AB30" s="174"/>
      <c r="AC30" s="173"/>
      <c r="AD30" s="886"/>
      <c r="AE30" s="876"/>
      <c r="AF30" s="878"/>
    </row>
    <row r="31" spans="2:32" ht="12" customHeight="1" x14ac:dyDescent="0.2">
      <c r="B31" s="865"/>
      <c r="C31" s="884">
        <v>1</v>
      </c>
      <c r="D31" s="154"/>
      <c r="E31" s="153"/>
      <c r="F31" s="153"/>
      <c r="G31" s="153"/>
      <c r="H31" s="152"/>
      <c r="I31" s="151"/>
      <c r="J31" s="153"/>
      <c r="K31" s="153"/>
      <c r="L31" s="153"/>
      <c r="M31" s="172"/>
      <c r="N31" s="886">
        <v>18</v>
      </c>
      <c r="O31" s="876">
        <v>2</v>
      </c>
      <c r="P31" s="878"/>
      <c r="R31" s="865"/>
      <c r="S31" s="884">
        <v>30</v>
      </c>
      <c r="T31" s="154"/>
      <c r="U31" s="153"/>
      <c r="V31" s="153"/>
      <c r="W31" s="153"/>
      <c r="X31" s="152"/>
      <c r="Y31" s="151"/>
      <c r="Z31" s="153"/>
      <c r="AA31" s="153"/>
      <c r="AB31" s="153"/>
      <c r="AC31" s="172"/>
      <c r="AD31" s="886">
        <v>20</v>
      </c>
      <c r="AE31" s="876">
        <v>1</v>
      </c>
      <c r="AF31" s="878"/>
    </row>
    <row r="32" spans="2:32" ht="12" customHeight="1" x14ac:dyDescent="0.2">
      <c r="B32" s="865"/>
      <c r="C32" s="884"/>
      <c r="D32" s="171"/>
      <c r="E32" s="168"/>
      <c r="F32" s="168"/>
      <c r="G32" s="168"/>
      <c r="H32" s="170"/>
      <c r="I32" s="169"/>
      <c r="J32" s="168"/>
      <c r="K32" s="168"/>
      <c r="L32" s="145"/>
      <c r="M32" s="144"/>
      <c r="N32" s="886"/>
      <c r="O32" s="876"/>
      <c r="P32" s="878"/>
      <c r="R32" s="865"/>
      <c r="S32" s="884"/>
      <c r="T32" s="171"/>
      <c r="U32" s="168"/>
      <c r="V32" s="168"/>
      <c r="W32" s="168"/>
      <c r="X32" s="170"/>
      <c r="Y32" s="169"/>
      <c r="Z32" s="168"/>
      <c r="AA32" s="168"/>
      <c r="AB32" s="168"/>
      <c r="AC32" s="167"/>
      <c r="AD32" s="886"/>
      <c r="AE32" s="876"/>
      <c r="AF32" s="878"/>
    </row>
    <row r="33" spans="2:32" ht="12" customHeight="1" x14ac:dyDescent="0.2">
      <c r="B33" s="865"/>
      <c r="C33" s="884"/>
      <c r="D33" s="148"/>
      <c r="E33" s="145"/>
      <c r="F33" s="145"/>
      <c r="G33" s="145"/>
      <c r="H33" s="147"/>
      <c r="I33" s="146"/>
      <c r="J33" s="145"/>
      <c r="K33" s="145"/>
      <c r="L33" s="145"/>
      <c r="M33" s="144"/>
      <c r="N33" s="886"/>
      <c r="O33" s="876"/>
      <c r="P33" s="878"/>
      <c r="R33" s="865"/>
      <c r="S33" s="884"/>
      <c r="T33" s="148"/>
      <c r="U33" s="145"/>
      <c r="V33" s="145"/>
      <c r="W33" s="145"/>
      <c r="X33" s="147"/>
      <c r="Y33" s="146"/>
      <c r="Z33" s="145"/>
      <c r="AA33" s="145"/>
      <c r="AB33" s="145"/>
      <c r="AC33" s="144"/>
      <c r="AD33" s="886"/>
      <c r="AE33" s="876"/>
      <c r="AF33" s="878"/>
    </row>
    <row r="34" spans="2:32" ht="12" customHeight="1" x14ac:dyDescent="0.2">
      <c r="B34" s="865"/>
      <c r="C34" s="884"/>
      <c r="D34" s="148"/>
      <c r="E34" s="145"/>
      <c r="F34" s="145"/>
      <c r="G34" s="145"/>
      <c r="H34" s="147"/>
      <c r="I34" s="146"/>
      <c r="J34" s="145"/>
      <c r="K34" s="145"/>
      <c r="L34" s="145"/>
      <c r="M34" s="144"/>
      <c r="N34" s="886"/>
      <c r="O34" s="876"/>
      <c r="P34" s="878"/>
      <c r="R34" s="865"/>
      <c r="S34" s="884"/>
      <c r="T34" s="148"/>
      <c r="U34" s="145"/>
      <c r="V34" s="145"/>
      <c r="W34" s="145"/>
      <c r="X34" s="147"/>
      <c r="Y34" s="146"/>
      <c r="Z34" s="145"/>
      <c r="AA34" s="145"/>
      <c r="AB34" s="145"/>
      <c r="AC34" s="144"/>
      <c r="AD34" s="886"/>
      <c r="AE34" s="876"/>
      <c r="AF34" s="878"/>
    </row>
    <row r="35" spans="2:32" ht="12" customHeight="1" thickBot="1" x14ac:dyDescent="0.25">
      <c r="B35" s="866"/>
      <c r="C35" s="887"/>
      <c r="D35" s="166"/>
      <c r="E35" s="163"/>
      <c r="F35" s="163"/>
      <c r="G35" s="163"/>
      <c r="H35" s="165"/>
      <c r="I35" s="164"/>
      <c r="J35" s="163"/>
      <c r="K35" s="163"/>
      <c r="L35" s="163"/>
      <c r="M35" s="162"/>
      <c r="N35" s="888"/>
      <c r="O35" s="882"/>
      <c r="P35" s="879"/>
      <c r="R35" s="866"/>
      <c r="S35" s="887"/>
      <c r="T35" s="166"/>
      <c r="U35" s="163"/>
      <c r="V35" s="163"/>
      <c r="W35" s="163"/>
      <c r="X35" s="165"/>
      <c r="Y35" s="164"/>
      <c r="Z35" s="163"/>
      <c r="AA35" s="163"/>
      <c r="AB35" s="163"/>
      <c r="AC35" s="162"/>
      <c r="AD35" s="888"/>
      <c r="AE35" s="882"/>
      <c r="AF35" s="879"/>
    </row>
    <row r="36" spans="2:32" ht="12" customHeight="1" thickTop="1" x14ac:dyDescent="0.2">
      <c r="B36" s="845" t="s">
        <v>80</v>
      </c>
      <c r="C36" s="883" t="s">
        <v>86</v>
      </c>
      <c r="D36" s="161"/>
      <c r="E36" s="156"/>
      <c r="F36" s="156"/>
      <c r="G36" s="156"/>
      <c r="H36" s="158"/>
      <c r="I36" s="157"/>
      <c r="J36" s="156"/>
      <c r="K36" s="156"/>
      <c r="L36" s="156"/>
      <c r="M36" s="155"/>
      <c r="N36" s="885" t="s">
        <v>86</v>
      </c>
      <c r="O36" s="875" t="s">
        <v>86</v>
      </c>
      <c r="P36" s="877">
        <v>7</v>
      </c>
      <c r="R36" s="845" t="s">
        <v>80</v>
      </c>
      <c r="S36" s="883">
        <v>55</v>
      </c>
      <c r="T36" s="160"/>
      <c r="U36" s="159"/>
      <c r="V36" s="159"/>
      <c r="W36" s="159"/>
      <c r="X36" s="158"/>
      <c r="Y36" s="157"/>
      <c r="Z36" s="156"/>
      <c r="AA36" s="156"/>
      <c r="AB36" s="156"/>
      <c r="AC36" s="155"/>
      <c r="AD36" s="885">
        <v>4</v>
      </c>
      <c r="AE36" s="875">
        <v>1</v>
      </c>
      <c r="AF36" s="877">
        <v>11</v>
      </c>
    </row>
    <row r="37" spans="2:32" ht="12" customHeight="1" x14ac:dyDescent="0.2">
      <c r="B37" s="846"/>
      <c r="C37" s="884"/>
      <c r="D37" s="148"/>
      <c r="E37" s="145"/>
      <c r="F37" s="145"/>
      <c r="G37" s="145"/>
      <c r="H37" s="147"/>
      <c r="I37" s="146"/>
      <c r="J37" s="145"/>
      <c r="K37" s="145"/>
      <c r="L37" s="145"/>
      <c r="M37" s="144"/>
      <c r="N37" s="886"/>
      <c r="O37" s="876"/>
      <c r="P37" s="878"/>
      <c r="R37" s="846"/>
      <c r="S37" s="884"/>
      <c r="T37" s="148"/>
      <c r="U37" s="145"/>
      <c r="V37" s="145"/>
      <c r="W37" s="145"/>
      <c r="X37" s="147"/>
      <c r="Y37" s="146"/>
      <c r="Z37" s="145"/>
      <c r="AA37" s="145"/>
      <c r="AB37" s="145"/>
      <c r="AC37" s="144"/>
      <c r="AD37" s="886"/>
      <c r="AE37" s="876"/>
      <c r="AF37" s="878"/>
    </row>
    <row r="38" spans="2:32" ht="12" customHeight="1" x14ac:dyDescent="0.2">
      <c r="B38" s="846"/>
      <c r="C38" s="884"/>
      <c r="D38" s="143"/>
      <c r="E38" s="140"/>
      <c r="F38" s="140"/>
      <c r="G38" s="140"/>
      <c r="H38" s="142"/>
      <c r="I38" s="141"/>
      <c r="J38" s="140"/>
      <c r="K38" s="140"/>
      <c r="L38" s="140"/>
      <c r="M38" s="139"/>
      <c r="N38" s="886"/>
      <c r="O38" s="876"/>
      <c r="P38" s="878"/>
      <c r="R38" s="846"/>
      <c r="S38" s="884"/>
      <c r="T38" s="143"/>
      <c r="U38" s="140"/>
      <c r="V38" s="140"/>
      <c r="W38" s="140"/>
      <c r="X38" s="142"/>
      <c r="Y38" s="141"/>
      <c r="Z38" s="140"/>
      <c r="AA38" s="140"/>
      <c r="AB38" s="140"/>
      <c r="AC38" s="139"/>
      <c r="AD38" s="886"/>
      <c r="AE38" s="876"/>
      <c r="AF38" s="878"/>
    </row>
    <row r="39" spans="2:32" ht="12" customHeight="1" x14ac:dyDescent="0.2">
      <c r="B39" s="846"/>
      <c r="C39" s="884">
        <v>1</v>
      </c>
      <c r="D39" s="154"/>
      <c r="E39" s="153"/>
      <c r="F39" s="153"/>
      <c r="G39" s="153"/>
      <c r="H39" s="152"/>
      <c r="I39" s="151"/>
      <c r="J39" s="153"/>
      <c r="K39" s="150"/>
      <c r="L39" s="150"/>
      <c r="M39" s="149"/>
      <c r="N39" s="886">
        <v>7</v>
      </c>
      <c r="O39" s="876">
        <v>0</v>
      </c>
      <c r="P39" s="878"/>
      <c r="R39" s="846"/>
      <c r="S39" s="884">
        <v>30</v>
      </c>
      <c r="T39" s="154"/>
      <c r="U39" s="153"/>
      <c r="V39" s="153"/>
      <c r="W39" s="153"/>
      <c r="X39" s="152"/>
      <c r="Y39" s="151"/>
      <c r="Z39" s="150"/>
      <c r="AA39" s="150"/>
      <c r="AB39" s="150"/>
      <c r="AC39" s="149"/>
      <c r="AD39" s="886">
        <v>6</v>
      </c>
      <c r="AE39" s="876">
        <v>0</v>
      </c>
      <c r="AF39" s="878"/>
    </row>
    <row r="40" spans="2:32" ht="12" customHeight="1" x14ac:dyDescent="0.2">
      <c r="B40" s="846"/>
      <c r="C40" s="884"/>
      <c r="D40" s="148"/>
      <c r="E40" s="145"/>
      <c r="F40" s="145"/>
      <c r="G40" s="145"/>
      <c r="H40" s="147"/>
      <c r="I40" s="146"/>
      <c r="J40" s="145"/>
      <c r="K40" s="145"/>
      <c r="L40" s="145"/>
      <c r="M40" s="144"/>
      <c r="N40" s="886"/>
      <c r="O40" s="876"/>
      <c r="P40" s="878"/>
      <c r="R40" s="846"/>
      <c r="S40" s="884"/>
      <c r="T40" s="148"/>
      <c r="U40" s="145"/>
      <c r="V40" s="145"/>
      <c r="W40" s="145"/>
      <c r="X40" s="147"/>
      <c r="Y40" s="146"/>
      <c r="Z40" s="145"/>
      <c r="AA40" s="145"/>
      <c r="AB40" s="145"/>
      <c r="AC40" s="144"/>
      <c r="AD40" s="886"/>
      <c r="AE40" s="876"/>
      <c r="AF40" s="878"/>
    </row>
    <row r="41" spans="2:32" ht="12" customHeight="1" thickBot="1" x14ac:dyDescent="0.25">
      <c r="B41" s="847"/>
      <c r="C41" s="887"/>
      <c r="D41" s="143"/>
      <c r="E41" s="140"/>
      <c r="F41" s="140"/>
      <c r="G41" s="140"/>
      <c r="H41" s="142"/>
      <c r="I41" s="141"/>
      <c r="J41" s="140"/>
      <c r="K41" s="140"/>
      <c r="L41" s="140"/>
      <c r="M41" s="139"/>
      <c r="N41" s="888"/>
      <c r="O41" s="882"/>
      <c r="P41" s="879"/>
      <c r="R41" s="847"/>
      <c r="S41" s="887"/>
      <c r="T41" s="143"/>
      <c r="U41" s="140"/>
      <c r="V41" s="140"/>
      <c r="W41" s="140"/>
      <c r="X41" s="142"/>
      <c r="Y41" s="141"/>
      <c r="Z41" s="140"/>
      <c r="AA41" s="140"/>
      <c r="AB41" s="140"/>
      <c r="AC41" s="139"/>
      <c r="AD41" s="888"/>
      <c r="AE41" s="882"/>
      <c r="AF41" s="879"/>
    </row>
    <row r="42" spans="2:32" ht="12" customHeight="1" thickTop="1" x14ac:dyDescent="0.2">
      <c r="B42" s="845" t="s">
        <v>81</v>
      </c>
      <c r="C42" s="871">
        <v>33</v>
      </c>
      <c r="D42" s="138"/>
      <c r="E42" s="137"/>
      <c r="F42" s="137"/>
      <c r="G42" s="137"/>
      <c r="H42" s="137"/>
      <c r="I42" s="137"/>
      <c r="J42" s="137"/>
      <c r="K42" s="137"/>
      <c r="L42" s="137"/>
      <c r="M42" s="136"/>
      <c r="N42" s="873">
        <v>28</v>
      </c>
      <c r="O42" s="875">
        <v>1</v>
      </c>
      <c r="P42" s="877">
        <v>56</v>
      </c>
      <c r="R42" s="845" t="s">
        <v>81</v>
      </c>
      <c r="S42" s="871">
        <v>55</v>
      </c>
      <c r="T42" s="138"/>
      <c r="U42" s="137"/>
      <c r="V42" s="137"/>
      <c r="W42" s="137"/>
      <c r="X42" s="137"/>
      <c r="Y42" s="137"/>
      <c r="Z42" s="137"/>
      <c r="AA42" s="137"/>
      <c r="AB42" s="137"/>
      <c r="AC42" s="136"/>
      <c r="AD42" s="873">
        <v>35</v>
      </c>
      <c r="AE42" s="875">
        <v>2</v>
      </c>
      <c r="AF42" s="877">
        <v>73</v>
      </c>
    </row>
    <row r="43" spans="2:32" ht="12" customHeight="1" x14ac:dyDescent="0.2">
      <c r="B43" s="846"/>
      <c r="C43" s="872"/>
      <c r="D43" s="135"/>
      <c r="E43" s="134"/>
      <c r="F43" s="134"/>
      <c r="G43" s="134"/>
      <c r="H43" s="134"/>
      <c r="I43" s="134"/>
      <c r="J43" s="134"/>
      <c r="K43" s="134"/>
      <c r="L43" s="134"/>
      <c r="M43" s="133"/>
      <c r="N43" s="874"/>
      <c r="O43" s="876"/>
      <c r="P43" s="878"/>
      <c r="R43" s="846"/>
      <c r="S43" s="872"/>
      <c r="T43" s="135"/>
      <c r="U43" s="134"/>
      <c r="V43" s="134"/>
      <c r="W43" s="134"/>
      <c r="X43" s="134"/>
      <c r="Y43" s="134"/>
      <c r="Z43" s="134"/>
      <c r="AA43" s="134"/>
      <c r="AB43" s="134"/>
      <c r="AC43" s="133"/>
      <c r="AD43" s="874"/>
      <c r="AE43" s="876"/>
      <c r="AF43" s="878"/>
    </row>
    <row r="44" spans="2:32" ht="12" customHeight="1" x14ac:dyDescent="0.2">
      <c r="B44" s="846"/>
      <c r="C44" s="872"/>
      <c r="D44" s="135"/>
      <c r="E44" s="134"/>
      <c r="F44" s="134"/>
      <c r="G44" s="134"/>
      <c r="H44" s="134"/>
      <c r="I44" s="134"/>
      <c r="J44" s="134"/>
      <c r="K44" s="134"/>
      <c r="L44" s="134"/>
      <c r="M44" s="133"/>
      <c r="N44" s="874"/>
      <c r="O44" s="876"/>
      <c r="P44" s="878"/>
      <c r="R44" s="846"/>
      <c r="S44" s="872"/>
      <c r="T44" s="135"/>
      <c r="U44" s="134"/>
      <c r="V44" s="134"/>
      <c r="W44" s="134"/>
      <c r="X44" s="134"/>
      <c r="Y44" s="134"/>
      <c r="Z44" s="134"/>
      <c r="AA44" s="134"/>
      <c r="AB44" s="134"/>
      <c r="AC44" s="133"/>
      <c r="AD44" s="874"/>
      <c r="AE44" s="876"/>
      <c r="AF44" s="878"/>
    </row>
    <row r="45" spans="2:32" ht="12" customHeight="1" x14ac:dyDescent="0.2">
      <c r="B45" s="846"/>
      <c r="C45" s="872">
        <v>1</v>
      </c>
      <c r="D45" s="135"/>
      <c r="E45" s="134"/>
      <c r="F45" s="134"/>
      <c r="G45" s="134"/>
      <c r="H45" s="134"/>
      <c r="I45" s="134"/>
      <c r="J45" s="134"/>
      <c r="K45" s="134"/>
      <c r="L45" s="134"/>
      <c r="M45" s="133"/>
      <c r="N45" s="874">
        <v>25</v>
      </c>
      <c r="O45" s="876">
        <v>2</v>
      </c>
      <c r="P45" s="878"/>
      <c r="R45" s="846"/>
      <c r="S45" s="872">
        <v>30</v>
      </c>
      <c r="T45" s="135"/>
      <c r="U45" s="134"/>
      <c r="V45" s="134"/>
      <c r="W45" s="134"/>
      <c r="X45" s="134"/>
      <c r="Y45" s="134"/>
      <c r="Z45" s="134"/>
      <c r="AA45" s="134"/>
      <c r="AB45" s="134"/>
      <c r="AC45" s="133"/>
      <c r="AD45" s="874">
        <v>34</v>
      </c>
      <c r="AE45" s="876">
        <v>2</v>
      </c>
      <c r="AF45" s="878"/>
    </row>
    <row r="46" spans="2:32" ht="12" customHeight="1" x14ac:dyDescent="0.2">
      <c r="B46" s="846"/>
      <c r="C46" s="872"/>
      <c r="D46" s="135"/>
      <c r="E46" s="134"/>
      <c r="F46" s="134"/>
      <c r="G46" s="134"/>
      <c r="H46" s="134"/>
      <c r="I46" s="134"/>
      <c r="J46" s="134"/>
      <c r="K46" s="134"/>
      <c r="L46" s="134"/>
      <c r="M46" s="133"/>
      <c r="N46" s="874"/>
      <c r="O46" s="876"/>
      <c r="P46" s="878"/>
      <c r="R46" s="846"/>
      <c r="S46" s="872"/>
      <c r="T46" s="135"/>
      <c r="U46" s="134"/>
      <c r="V46" s="134"/>
      <c r="W46" s="134"/>
      <c r="X46" s="134"/>
      <c r="Y46" s="134"/>
      <c r="Z46" s="134"/>
      <c r="AA46" s="134"/>
      <c r="AB46" s="134"/>
      <c r="AC46" s="133"/>
      <c r="AD46" s="874"/>
      <c r="AE46" s="876"/>
      <c r="AF46" s="878"/>
    </row>
    <row r="47" spans="2:32" ht="12" customHeight="1" thickBot="1" x14ac:dyDescent="0.25">
      <c r="B47" s="847"/>
      <c r="C47" s="880"/>
      <c r="D47" s="132"/>
      <c r="E47" s="131"/>
      <c r="F47" s="131"/>
      <c r="G47" s="131"/>
      <c r="H47" s="131"/>
      <c r="I47" s="131"/>
      <c r="J47" s="131"/>
      <c r="K47" s="131"/>
      <c r="L47" s="131"/>
      <c r="M47" s="130"/>
      <c r="N47" s="881"/>
      <c r="O47" s="882"/>
      <c r="P47" s="879"/>
      <c r="R47" s="847"/>
      <c r="S47" s="880"/>
      <c r="T47" s="132"/>
      <c r="U47" s="131"/>
      <c r="V47" s="131"/>
      <c r="W47" s="131"/>
      <c r="X47" s="131"/>
      <c r="Y47" s="131"/>
      <c r="Z47" s="131"/>
      <c r="AA47" s="131"/>
      <c r="AB47" s="131"/>
      <c r="AC47" s="130"/>
      <c r="AD47" s="881"/>
      <c r="AE47" s="882"/>
      <c r="AF47" s="879"/>
    </row>
    <row r="48" spans="2:32" ht="12" customHeight="1" thickTop="1" x14ac:dyDescent="0.2"/>
    <row r="49" ht="12" customHeight="1" x14ac:dyDescent="0.2"/>
    <row r="50" ht="12" customHeight="1" x14ac:dyDescent="0.2"/>
    <row r="51" ht="12" customHeight="1" x14ac:dyDescent="0.2"/>
  </sheetData>
  <mergeCells count="82">
    <mergeCell ref="B3:P3"/>
    <mergeCell ref="R3:AF3"/>
    <mergeCell ref="B6:B15"/>
    <mergeCell ref="C6:C10"/>
    <mergeCell ref="N6:N10"/>
    <mergeCell ref="O6:O10"/>
    <mergeCell ref="P6:P15"/>
    <mergeCell ref="R6:R15"/>
    <mergeCell ref="S6:S10"/>
    <mergeCell ref="AD6:AD10"/>
    <mergeCell ref="AE6:AE10"/>
    <mergeCell ref="AF6:AF15"/>
    <mergeCell ref="C11:C15"/>
    <mergeCell ref="N11:N15"/>
    <mergeCell ref="O11:O15"/>
    <mergeCell ref="S11:S15"/>
    <mergeCell ref="AD11:AD15"/>
    <mergeCell ref="AE11:AE15"/>
    <mergeCell ref="B16:B25"/>
    <mergeCell ref="C16:C20"/>
    <mergeCell ref="N16:N20"/>
    <mergeCell ref="O16:O20"/>
    <mergeCell ref="P16:P25"/>
    <mergeCell ref="S16:S20"/>
    <mergeCell ref="AD16:AD20"/>
    <mergeCell ref="AE16:AE20"/>
    <mergeCell ref="AF16:AF25"/>
    <mergeCell ref="C21:C25"/>
    <mergeCell ref="N21:N25"/>
    <mergeCell ref="O21:O25"/>
    <mergeCell ref="S21:S25"/>
    <mergeCell ref="AD21:AD25"/>
    <mergeCell ref="AE21:AE25"/>
    <mergeCell ref="R16:R25"/>
    <mergeCell ref="B26:B35"/>
    <mergeCell ref="C26:C30"/>
    <mergeCell ref="N26:N30"/>
    <mergeCell ref="O26:O30"/>
    <mergeCell ref="P26:P35"/>
    <mergeCell ref="S26:S30"/>
    <mergeCell ref="AD26:AD30"/>
    <mergeCell ref="AE26:AE30"/>
    <mergeCell ref="AF26:AF35"/>
    <mergeCell ref="C31:C35"/>
    <mergeCell ref="N31:N35"/>
    <mergeCell ref="O31:O35"/>
    <mergeCell ref="S31:S35"/>
    <mergeCell ref="AD31:AD35"/>
    <mergeCell ref="AE31:AE35"/>
    <mergeCell ref="R26:R35"/>
    <mergeCell ref="B36:B41"/>
    <mergeCell ref="C36:C38"/>
    <mergeCell ref="N36:N38"/>
    <mergeCell ref="O36:O38"/>
    <mergeCell ref="P36:P41"/>
    <mergeCell ref="S36:S38"/>
    <mergeCell ref="AD36:AD38"/>
    <mergeCell ref="AE36:AE38"/>
    <mergeCell ref="AF36:AF41"/>
    <mergeCell ref="C39:C41"/>
    <mergeCell ref="N39:N41"/>
    <mergeCell ref="O39:O41"/>
    <mergeCell ref="S39:S41"/>
    <mergeCell ref="AD39:AD41"/>
    <mergeCell ref="AE39:AE41"/>
    <mergeCell ref="R36:R41"/>
    <mergeCell ref="B42:B47"/>
    <mergeCell ref="C42:C44"/>
    <mergeCell ref="N42:N44"/>
    <mergeCell ref="O42:O44"/>
    <mergeCell ref="P42:P47"/>
    <mergeCell ref="S42:S44"/>
    <mergeCell ref="AD42:AD44"/>
    <mergeCell ref="AE42:AE44"/>
    <mergeCell ref="AF42:AF47"/>
    <mergeCell ref="C45:C47"/>
    <mergeCell ref="N45:N47"/>
    <mergeCell ref="O45:O47"/>
    <mergeCell ref="S45:S47"/>
    <mergeCell ref="AD45:AD47"/>
    <mergeCell ref="AE45:AE47"/>
    <mergeCell ref="R42:R47"/>
  </mergeCells>
  <phoneticPr fontId="13"/>
  <printOptions horizontalCentered="1" verticalCentered="1"/>
  <pageMargins left="0" right="0" top="0" bottom="0" header="0" footer="0"/>
  <pageSetup paperSize="9" scale="79" fitToHeight="0" orientation="landscape" cellComments="asDisplayed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0"/>
    <pageSetUpPr autoPageBreaks="0" fitToPage="1"/>
  </sheetPr>
  <dimension ref="A1:BD109"/>
  <sheetViews>
    <sheetView tabSelected="1" topLeftCell="A2" zoomScale="130" zoomScaleNormal="130" workbookViewId="0">
      <selection activeCell="BE14" sqref="BE14"/>
    </sheetView>
  </sheetViews>
  <sheetFormatPr defaultColWidth="9" defaultRowHeight="9.6" x14ac:dyDescent="0.2"/>
  <cols>
    <col min="1" max="1" width="2.109375" style="1" customWidth="1"/>
    <col min="2" max="2" width="1.6640625" style="1" customWidth="1"/>
    <col min="3" max="3" width="2.109375" style="1" customWidth="1"/>
    <col min="4" max="4" width="0.88671875" style="1" customWidth="1"/>
    <col min="5" max="6" width="2.109375" style="1" customWidth="1"/>
    <col min="7" max="7" width="0.88671875" style="1" customWidth="1"/>
    <col min="8" max="9" width="2.109375" style="1" customWidth="1"/>
    <col min="10" max="10" width="0.88671875" style="1" customWidth="1"/>
    <col min="11" max="11" width="2.109375" style="1" customWidth="1"/>
    <col min="12" max="13" width="0.88671875" style="1" customWidth="1"/>
    <col min="14" max="15" width="0.44140625" style="1" customWidth="1"/>
    <col min="16" max="17" width="0.88671875" style="1" customWidth="1"/>
    <col min="18" max="18" width="1.88671875" style="1" customWidth="1"/>
    <col min="19" max="20" width="0.44140625" style="1" customWidth="1"/>
    <col min="21" max="21" width="1.88671875" style="1" customWidth="1"/>
    <col min="22" max="50" width="2.109375" style="1" customWidth="1"/>
    <col min="51" max="51" width="3" style="1" customWidth="1"/>
    <col min="52" max="52" width="2.6640625" style="1" customWidth="1"/>
    <col min="53" max="53" width="4" style="1" customWidth="1"/>
    <col min="54" max="54" width="2.109375" style="1" customWidth="1"/>
    <col min="55" max="55" width="2.44140625" style="1" customWidth="1"/>
    <col min="56" max="57" width="9" style="1"/>
    <col min="58" max="58" width="8.109375" style="1" customWidth="1"/>
    <col min="59" max="16384" width="9" style="1"/>
  </cols>
  <sheetData>
    <row r="1" spans="1:56" ht="27" customHeight="1" x14ac:dyDescent="0.2">
      <c r="A1" s="647" t="s">
        <v>87</v>
      </c>
      <c r="B1" s="647"/>
      <c r="C1" s="647"/>
      <c r="D1" s="647"/>
      <c r="E1" s="647"/>
      <c r="F1" s="647"/>
      <c r="G1" s="647"/>
      <c r="H1" s="647"/>
      <c r="I1" s="647"/>
      <c r="J1" s="647"/>
      <c r="K1" s="647"/>
      <c r="L1" s="647"/>
      <c r="M1" s="647"/>
      <c r="N1" s="647"/>
      <c r="O1" s="647"/>
      <c r="P1" s="647"/>
      <c r="Q1" s="647"/>
      <c r="R1" s="647"/>
      <c r="S1" s="647"/>
      <c r="T1" s="647"/>
      <c r="U1" s="647"/>
      <c r="V1" s="647"/>
      <c r="W1" s="113" t="s">
        <v>88</v>
      </c>
      <c r="X1" s="23"/>
      <c r="Y1" s="648" t="s">
        <v>89</v>
      </c>
      <c r="Z1" s="648"/>
      <c r="AA1" s="648"/>
      <c r="AB1" s="648"/>
      <c r="AC1" s="648"/>
      <c r="AD1" s="648"/>
      <c r="AE1" s="648"/>
      <c r="AF1" s="648"/>
      <c r="AG1" s="648"/>
      <c r="AH1" s="648"/>
      <c r="AI1" s="648"/>
      <c r="AJ1" s="648"/>
      <c r="AK1" s="648"/>
      <c r="AL1" s="648"/>
      <c r="AM1" s="648"/>
      <c r="AN1" s="648"/>
      <c r="AO1" s="648"/>
      <c r="AP1" s="24"/>
      <c r="AQ1" s="24"/>
      <c r="AR1" s="24"/>
      <c r="AS1" s="23"/>
      <c r="AT1" s="23"/>
      <c r="AU1" s="23"/>
      <c r="AV1" s="23"/>
      <c r="AW1" s="25"/>
      <c r="AX1" s="23"/>
      <c r="AY1" s="23"/>
      <c r="AZ1" s="26" t="s">
        <v>90</v>
      </c>
      <c r="BA1" s="26"/>
      <c r="BB1" s="26"/>
      <c r="BD1" s="385"/>
    </row>
    <row r="2" spans="1:56" s="2" customFormat="1" ht="14.25" customHeight="1" x14ac:dyDescent="0.25">
      <c r="A2" s="564" t="s">
        <v>91</v>
      </c>
      <c r="B2" s="600"/>
      <c r="C2" s="601" t="s">
        <v>92</v>
      </c>
      <c r="D2" s="602"/>
      <c r="E2" s="603"/>
      <c r="F2" s="603"/>
      <c r="G2" s="603"/>
      <c r="H2" s="603"/>
      <c r="I2" s="603"/>
      <c r="J2" s="603"/>
      <c r="K2" s="603"/>
      <c r="L2" s="603"/>
      <c r="M2" s="603"/>
      <c r="N2" s="603"/>
      <c r="O2" s="603"/>
      <c r="P2" s="603"/>
      <c r="Q2" s="603"/>
      <c r="R2" s="603"/>
      <c r="S2" s="604"/>
      <c r="T2" s="597" t="s">
        <v>93</v>
      </c>
      <c r="U2" s="649"/>
      <c r="V2" s="650"/>
      <c r="W2" s="613" t="s">
        <v>94</v>
      </c>
      <c r="X2" s="614"/>
      <c r="Y2" s="614"/>
      <c r="Z2" s="614"/>
      <c r="AA2" s="614"/>
      <c r="AB2" s="614"/>
      <c r="AC2" s="614"/>
      <c r="AD2" s="615"/>
      <c r="AE2" s="597" t="s">
        <v>95</v>
      </c>
      <c r="AF2" s="599"/>
      <c r="AG2" s="616">
        <v>46271</v>
      </c>
      <c r="AH2" s="617"/>
      <c r="AI2" s="617"/>
      <c r="AJ2" s="617"/>
      <c r="AK2" s="617"/>
      <c r="AL2" s="618"/>
      <c r="AM2" s="597" t="s">
        <v>96</v>
      </c>
      <c r="AN2" s="573"/>
      <c r="AO2" s="594"/>
      <c r="AP2" s="595"/>
      <c r="AQ2" s="596"/>
      <c r="AR2" s="598" t="s">
        <v>97</v>
      </c>
      <c r="AS2" s="573"/>
      <c r="AT2" s="574"/>
      <c r="AU2" s="605" t="s">
        <v>98</v>
      </c>
      <c r="AV2" s="424"/>
      <c r="AW2" s="606"/>
      <c r="AX2" s="597" t="s">
        <v>99</v>
      </c>
      <c r="AY2" s="598"/>
      <c r="AZ2" s="599"/>
      <c r="BA2" s="654"/>
      <c r="BB2" s="655"/>
      <c r="BD2" s="317" t="s">
        <v>100</v>
      </c>
    </row>
    <row r="3" spans="1:56" ht="5.25" customHeight="1" x14ac:dyDescent="0.2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D3" s="385"/>
    </row>
    <row r="4" spans="1:56" ht="11.1" customHeight="1" x14ac:dyDescent="0.2">
      <c r="A4" s="452" t="s">
        <v>101</v>
      </c>
      <c r="B4" s="453"/>
      <c r="C4" s="453"/>
      <c r="D4" s="453"/>
      <c r="E4" s="453"/>
      <c r="F4" s="700"/>
      <c r="G4" s="607" t="s">
        <v>373</v>
      </c>
      <c r="H4" s="608"/>
      <c r="I4" s="608"/>
      <c r="J4" s="608"/>
      <c r="K4" s="608"/>
      <c r="L4" s="608"/>
      <c r="M4" s="608"/>
      <c r="N4" s="608"/>
      <c r="O4" s="608"/>
      <c r="P4" s="608"/>
      <c r="Q4" s="608"/>
      <c r="R4" s="608"/>
      <c r="S4" s="608"/>
      <c r="T4" s="608"/>
      <c r="U4" s="609"/>
      <c r="V4" s="452" t="s">
        <v>102</v>
      </c>
      <c r="W4" s="453"/>
      <c r="X4" s="453"/>
      <c r="Y4" s="453"/>
      <c r="Z4" s="453"/>
      <c r="AA4" s="453"/>
      <c r="AB4" s="453"/>
      <c r="AC4" s="453"/>
      <c r="AD4" s="456" t="s">
        <v>103</v>
      </c>
      <c r="AE4" s="457"/>
      <c r="AF4" s="457"/>
      <c r="AG4" s="457"/>
      <c r="AH4" s="457"/>
      <c r="AI4" s="458"/>
      <c r="AJ4" s="621"/>
      <c r="AK4" s="622"/>
      <c r="AL4" s="622"/>
      <c r="AM4" s="622"/>
      <c r="AN4" s="622"/>
      <c r="AO4" s="623"/>
      <c r="AP4" s="453" t="s">
        <v>104</v>
      </c>
      <c r="AQ4" s="453"/>
      <c r="AR4" s="453"/>
      <c r="AS4" s="453"/>
      <c r="AT4" s="453"/>
      <c r="AU4" s="453"/>
      <c r="AV4" s="453"/>
      <c r="AW4" s="453"/>
      <c r="AX4" s="453"/>
      <c r="AY4" s="453"/>
      <c r="AZ4" s="453"/>
      <c r="BA4" s="453"/>
      <c r="BB4" s="651"/>
      <c r="BD4" s="385"/>
    </row>
    <row r="5" spans="1:56" ht="11.1" customHeight="1" x14ac:dyDescent="0.2">
      <c r="A5" s="701"/>
      <c r="B5" s="652"/>
      <c r="C5" s="652"/>
      <c r="D5" s="652"/>
      <c r="E5" s="652"/>
      <c r="F5" s="702"/>
      <c r="G5" s="610"/>
      <c r="H5" s="611"/>
      <c r="I5" s="611"/>
      <c r="J5" s="611"/>
      <c r="K5" s="611"/>
      <c r="L5" s="611"/>
      <c r="M5" s="611"/>
      <c r="N5" s="611"/>
      <c r="O5" s="611"/>
      <c r="P5" s="611"/>
      <c r="Q5" s="611"/>
      <c r="R5" s="611"/>
      <c r="S5" s="611"/>
      <c r="T5" s="611"/>
      <c r="U5" s="612"/>
      <c r="V5" s="454"/>
      <c r="W5" s="455"/>
      <c r="X5" s="455"/>
      <c r="Y5" s="455"/>
      <c r="Z5" s="455"/>
      <c r="AA5" s="455"/>
      <c r="AB5" s="455"/>
      <c r="AC5" s="455"/>
      <c r="AD5" s="459"/>
      <c r="AE5" s="460"/>
      <c r="AF5" s="460"/>
      <c r="AG5" s="460"/>
      <c r="AH5" s="460"/>
      <c r="AI5" s="461"/>
      <c r="AJ5" s="624"/>
      <c r="AK5" s="625"/>
      <c r="AL5" s="625"/>
      <c r="AM5" s="625"/>
      <c r="AN5" s="625"/>
      <c r="AO5" s="626"/>
      <c r="AP5" s="652"/>
      <c r="AQ5" s="652"/>
      <c r="AR5" s="652"/>
      <c r="AS5" s="652"/>
      <c r="AT5" s="652"/>
      <c r="AU5" s="652"/>
      <c r="AV5" s="652"/>
      <c r="AW5" s="652"/>
      <c r="AX5" s="652"/>
      <c r="AY5" s="652"/>
      <c r="AZ5" s="652"/>
      <c r="BA5" s="652"/>
      <c r="BB5" s="653"/>
    </row>
    <row r="6" spans="1:56" s="3" customFormat="1" ht="12.6" customHeight="1" x14ac:dyDescent="0.2">
      <c r="A6" s="382" t="s">
        <v>17</v>
      </c>
      <c r="B6" s="527" t="s">
        <v>105</v>
      </c>
      <c r="C6" s="528"/>
      <c r="D6" s="528"/>
      <c r="E6" s="528"/>
      <c r="F6" s="528"/>
      <c r="G6" s="528"/>
      <c r="H6" s="528"/>
      <c r="I6" s="528"/>
      <c r="J6" s="528"/>
      <c r="K6" s="528"/>
      <c r="L6" s="528"/>
      <c r="M6" s="528"/>
      <c r="N6" s="528"/>
      <c r="O6" s="416" t="s">
        <v>106</v>
      </c>
      <c r="P6" s="416"/>
      <c r="Q6" s="416"/>
      <c r="R6" s="416"/>
      <c r="S6" s="417"/>
      <c r="T6" s="503" t="s">
        <v>107</v>
      </c>
      <c r="U6" s="620"/>
      <c r="V6" s="382" t="s">
        <v>108</v>
      </c>
      <c r="W6" s="503" t="s">
        <v>109</v>
      </c>
      <c r="X6" s="503"/>
      <c r="Y6" s="503"/>
      <c r="Z6" s="373" t="s">
        <v>110</v>
      </c>
      <c r="AA6" s="373" t="s">
        <v>111</v>
      </c>
      <c r="AB6" s="373" t="s">
        <v>112</v>
      </c>
      <c r="AC6" s="368" t="s">
        <v>113</v>
      </c>
      <c r="AD6" s="382" t="s">
        <v>114</v>
      </c>
      <c r="AE6" s="373" t="s">
        <v>115</v>
      </c>
      <c r="AF6" s="38" t="s">
        <v>116</v>
      </c>
      <c r="AG6" s="38" t="s">
        <v>117</v>
      </c>
      <c r="AH6" s="445" t="s">
        <v>118</v>
      </c>
      <c r="AI6" s="446"/>
      <c r="AJ6" s="624"/>
      <c r="AK6" s="625"/>
      <c r="AL6" s="625"/>
      <c r="AM6" s="625"/>
      <c r="AN6" s="625"/>
      <c r="AO6" s="626"/>
      <c r="AP6" s="417" t="s">
        <v>109</v>
      </c>
      <c r="AQ6" s="503"/>
      <c r="AR6" s="503"/>
      <c r="AS6" s="373" t="s">
        <v>119</v>
      </c>
      <c r="AT6" s="373" t="s">
        <v>18</v>
      </c>
      <c r="AU6" s="503" t="s">
        <v>120</v>
      </c>
      <c r="AV6" s="503"/>
      <c r="AW6" s="503"/>
      <c r="AX6" s="503"/>
      <c r="AY6" s="503" t="s">
        <v>20</v>
      </c>
      <c r="AZ6" s="503"/>
      <c r="BA6" s="503" t="s">
        <v>121</v>
      </c>
      <c r="BB6" s="592"/>
    </row>
    <row r="7" spans="1:56" s="2" customFormat="1" ht="12.6" customHeight="1" x14ac:dyDescent="0.2">
      <c r="A7" s="11">
        <f>IF(TeamA!C4="","",TeamA!C4)</f>
        <v>0</v>
      </c>
      <c r="B7" s="490" t="str">
        <f>IF(TeamA!D4="","",TeamA!D4)</f>
        <v>V   岡部　直樹</v>
      </c>
      <c r="C7" s="491"/>
      <c r="D7" s="491"/>
      <c r="E7" s="491"/>
      <c r="F7" s="491"/>
      <c r="G7" s="491"/>
      <c r="H7" s="491"/>
      <c r="I7" s="491"/>
      <c r="J7" s="491"/>
      <c r="K7" s="491"/>
      <c r="L7" s="491"/>
      <c r="M7" s="491"/>
      <c r="N7" s="491"/>
      <c r="O7" s="533" t="str">
        <f>IF(TeamA!E4="","",TeamA!E4)</f>
        <v/>
      </c>
      <c r="P7" s="533"/>
      <c r="Q7" s="533"/>
      <c r="R7" s="533"/>
      <c r="S7" s="481"/>
      <c r="T7" s="493" t="str">
        <f>IF(TeamA!F4="","",TeamA!F4)</f>
        <v>G</v>
      </c>
      <c r="U7" s="587"/>
      <c r="V7" s="225"/>
      <c r="W7" s="535"/>
      <c r="X7" s="535"/>
      <c r="Y7" s="536"/>
      <c r="Z7" s="98"/>
      <c r="AA7" s="98"/>
      <c r="AB7" s="98"/>
      <c r="AC7" s="99"/>
      <c r="AD7" s="11"/>
      <c r="AE7" s="379"/>
      <c r="AF7" s="379"/>
      <c r="AG7" s="379"/>
      <c r="AH7" s="462"/>
      <c r="AI7" s="463"/>
      <c r="AJ7" s="624"/>
      <c r="AK7" s="625"/>
      <c r="AL7" s="625"/>
      <c r="AM7" s="625"/>
      <c r="AN7" s="625"/>
      <c r="AO7" s="626"/>
      <c r="AP7" s="472"/>
      <c r="AQ7" s="472"/>
      <c r="AR7" s="473"/>
      <c r="AS7" s="102"/>
      <c r="AT7" s="98"/>
      <c r="AU7" s="619"/>
      <c r="AV7" s="619"/>
      <c r="AW7" s="619"/>
      <c r="AX7" s="619"/>
      <c r="AY7" s="590" t="str">
        <f>IF(AP7="","",AP7)</f>
        <v/>
      </c>
      <c r="AZ7" s="473"/>
      <c r="BA7" s="590"/>
      <c r="BB7" s="593"/>
    </row>
    <row r="8" spans="1:56" s="2" customFormat="1" ht="12.6" customHeight="1" x14ac:dyDescent="0.2">
      <c r="A8" s="28">
        <f>IF(TeamA!C5="","",TeamA!C5)</f>
        <v>0</v>
      </c>
      <c r="B8" s="569" t="str">
        <f>IF(TeamA!D5="","",TeamA!D5)</f>
        <v>V   渡邊　周</v>
      </c>
      <c r="C8" s="570"/>
      <c r="D8" s="570"/>
      <c r="E8" s="570"/>
      <c r="F8" s="570"/>
      <c r="G8" s="570"/>
      <c r="H8" s="570"/>
      <c r="I8" s="570"/>
      <c r="J8" s="570"/>
      <c r="K8" s="570"/>
      <c r="L8" s="570"/>
      <c r="M8" s="570"/>
      <c r="N8" s="570"/>
      <c r="O8" s="580" t="str">
        <f>IF(TeamA!E5="","",TeamA!E5)</f>
        <v/>
      </c>
      <c r="P8" s="580"/>
      <c r="Q8" s="487"/>
      <c r="R8" s="526"/>
      <c r="S8" s="580"/>
      <c r="T8" s="586" t="str">
        <f>IF(TeamA!F5="","",TeamA!F5)</f>
        <v>G</v>
      </c>
      <c r="U8" s="586"/>
      <c r="V8" s="226"/>
      <c r="W8" s="535"/>
      <c r="X8" s="535"/>
      <c r="Y8" s="536"/>
      <c r="Z8" s="100"/>
      <c r="AA8" s="100"/>
      <c r="AB8" s="100"/>
      <c r="AC8" s="99"/>
      <c r="AD8" s="6"/>
      <c r="AE8" s="4"/>
      <c r="AF8" s="4"/>
      <c r="AG8" s="4"/>
      <c r="AH8" s="450"/>
      <c r="AI8" s="451"/>
      <c r="AJ8" s="624"/>
      <c r="AK8" s="625"/>
      <c r="AL8" s="625"/>
      <c r="AM8" s="625"/>
      <c r="AN8" s="625"/>
      <c r="AO8" s="626"/>
      <c r="AP8" s="472"/>
      <c r="AQ8" s="472"/>
      <c r="AR8" s="473"/>
      <c r="AS8" s="103"/>
      <c r="AT8" s="100"/>
      <c r="AU8" s="591"/>
      <c r="AV8" s="591"/>
      <c r="AW8" s="591"/>
      <c r="AX8" s="591"/>
      <c r="AY8" s="590" t="str">
        <f>IF(AP8="","",AP8)</f>
        <v/>
      </c>
      <c r="AZ8" s="473"/>
      <c r="BA8" s="590"/>
      <c r="BB8" s="593"/>
    </row>
    <row r="9" spans="1:56" s="2" customFormat="1" ht="12.6" customHeight="1" x14ac:dyDescent="0.2">
      <c r="A9" s="29">
        <f>IF(TeamA!C6="","",TeamA!C6)</f>
        <v>0</v>
      </c>
      <c r="B9" s="490" t="str">
        <f>IF(TeamA!D6="","",TeamA!D6)</f>
        <v xml:space="preserve">      Ｈｅｒｍｅｎｉｕｓ　Ｈａｎｓ</v>
      </c>
      <c r="C9" s="491"/>
      <c r="D9" s="491"/>
      <c r="E9" s="491"/>
      <c r="F9" s="491"/>
      <c r="G9" s="491"/>
      <c r="H9" s="491"/>
      <c r="I9" s="491"/>
      <c r="J9" s="491"/>
      <c r="K9" s="491"/>
      <c r="L9" s="491"/>
      <c r="M9" s="491"/>
      <c r="N9" s="491"/>
      <c r="O9" s="481" t="str">
        <f>IF(TeamA!E6="","",TeamA!E6)</f>
        <v/>
      </c>
      <c r="P9" s="481"/>
      <c r="Q9" s="584"/>
      <c r="R9" s="481"/>
      <c r="S9" s="481"/>
      <c r="T9" s="493">
        <f>IF(TeamA!F6="","",TeamA!F6)</f>
        <v>0</v>
      </c>
      <c r="U9" s="494"/>
      <c r="V9" s="226"/>
      <c r="W9" s="472"/>
      <c r="X9" s="472"/>
      <c r="Y9" s="473"/>
      <c r="Z9" s="100"/>
      <c r="AA9" s="100"/>
      <c r="AB9" s="100"/>
      <c r="AC9" s="99"/>
      <c r="AD9" s="6"/>
      <c r="AE9" s="4"/>
      <c r="AF9" s="4"/>
      <c r="AG9" s="4"/>
      <c r="AH9" s="450"/>
      <c r="AI9" s="451"/>
      <c r="AJ9" s="624"/>
      <c r="AK9" s="625"/>
      <c r="AL9" s="625"/>
      <c r="AM9" s="625"/>
      <c r="AN9" s="625"/>
      <c r="AO9" s="626"/>
      <c r="AP9" s="472"/>
      <c r="AQ9" s="472"/>
      <c r="AR9" s="473"/>
      <c r="AS9" s="103"/>
      <c r="AT9" s="100"/>
      <c r="AU9" s="591"/>
      <c r="AV9" s="591"/>
      <c r="AW9" s="591"/>
      <c r="AX9" s="591"/>
      <c r="AY9" s="590" t="str">
        <f t="shared" ref="AY9:AY28" si="0">IF(AP9="","",AP9)</f>
        <v/>
      </c>
      <c r="AZ9" s="473"/>
      <c r="BA9" s="590"/>
      <c r="BB9" s="593"/>
    </row>
    <row r="10" spans="1:56" s="2" customFormat="1" ht="12.6" customHeight="1" x14ac:dyDescent="0.2">
      <c r="A10" s="6">
        <f>IF(TeamA!C7="","",TeamA!C7)</f>
        <v>0</v>
      </c>
      <c r="B10" s="501" t="str">
        <f>IF(TeamA!D7="","",TeamA!D7)</f>
        <v xml:space="preserve">      村石　和実</v>
      </c>
      <c r="C10" s="502"/>
      <c r="D10" s="502"/>
      <c r="E10" s="502"/>
      <c r="F10" s="502"/>
      <c r="G10" s="502"/>
      <c r="H10" s="502"/>
      <c r="I10" s="502"/>
      <c r="J10" s="502"/>
      <c r="K10" s="502"/>
      <c r="L10" s="502"/>
      <c r="M10" s="502"/>
      <c r="N10" s="502"/>
      <c r="O10" s="495" t="str">
        <f>IF(TeamA!E7="","",TeamA!E7)</f>
        <v/>
      </c>
      <c r="P10" s="495"/>
      <c r="Q10" s="496"/>
      <c r="R10" s="495"/>
      <c r="S10" s="495"/>
      <c r="T10" s="474">
        <f>IF(TeamA!F7="","",TeamA!F7)</f>
        <v>0</v>
      </c>
      <c r="U10" s="475"/>
      <c r="V10" s="226"/>
      <c r="W10" s="472"/>
      <c r="X10" s="472"/>
      <c r="Y10" s="473"/>
      <c r="Z10" s="100"/>
      <c r="AA10" s="100"/>
      <c r="AB10" s="100"/>
      <c r="AC10" s="99"/>
      <c r="AD10" s="6"/>
      <c r="AE10" s="4"/>
      <c r="AF10" s="4"/>
      <c r="AG10" s="4"/>
      <c r="AH10" s="450"/>
      <c r="AI10" s="451"/>
      <c r="AJ10" s="624"/>
      <c r="AK10" s="625"/>
      <c r="AL10" s="625"/>
      <c r="AM10" s="625"/>
      <c r="AN10" s="625"/>
      <c r="AO10" s="626"/>
      <c r="AP10" s="472"/>
      <c r="AQ10" s="472"/>
      <c r="AR10" s="473"/>
      <c r="AS10" s="103"/>
      <c r="AT10" s="100"/>
      <c r="AU10" s="591"/>
      <c r="AV10" s="591"/>
      <c r="AW10" s="591"/>
      <c r="AX10" s="591"/>
      <c r="AY10" s="590" t="str">
        <f t="shared" si="0"/>
        <v/>
      </c>
      <c r="AZ10" s="473"/>
      <c r="BA10" s="590"/>
      <c r="BB10" s="593"/>
    </row>
    <row r="11" spans="1:56" s="2" customFormat="1" ht="12.6" customHeight="1" x14ac:dyDescent="0.2">
      <c r="A11" s="6">
        <f>IF(TeamA!C8="","",TeamA!C8)</f>
        <v>0</v>
      </c>
      <c r="B11" s="501" t="str">
        <f>IF(TeamA!D8="","",TeamA!D8)</f>
        <v xml:space="preserve">      田中　伸史</v>
      </c>
      <c r="C11" s="502"/>
      <c r="D11" s="502"/>
      <c r="E11" s="502"/>
      <c r="F11" s="502"/>
      <c r="G11" s="502"/>
      <c r="H11" s="502"/>
      <c r="I11" s="502"/>
      <c r="J11" s="502"/>
      <c r="K11" s="502"/>
      <c r="L11" s="502"/>
      <c r="M11" s="502"/>
      <c r="N11" s="502"/>
      <c r="O11" s="495" t="str">
        <f>IF(TeamA!E8="","",TeamA!E8)</f>
        <v/>
      </c>
      <c r="P11" s="495"/>
      <c r="Q11" s="496"/>
      <c r="R11" s="495"/>
      <c r="S11" s="495"/>
      <c r="T11" s="474">
        <f>IF(TeamA!F8="","",TeamA!F8)</f>
        <v>0</v>
      </c>
      <c r="U11" s="475"/>
      <c r="V11" s="227"/>
      <c r="W11" s="472"/>
      <c r="X11" s="472"/>
      <c r="Y11" s="473"/>
      <c r="Z11" s="100"/>
      <c r="AA11" s="100"/>
      <c r="AB11" s="100"/>
      <c r="AC11" s="99"/>
      <c r="AD11" s="6"/>
      <c r="AE11" s="4"/>
      <c r="AF11" s="4"/>
      <c r="AG11" s="4"/>
      <c r="AH11" s="450"/>
      <c r="AI11" s="451"/>
      <c r="AJ11" s="624"/>
      <c r="AK11" s="625"/>
      <c r="AL11" s="625"/>
      <c r="AM11" s="625"/>
      <c r="AN11" s="625"/>
      <c r="AO11" s="626"/>
      <c r="AP11" s="472"/>
      <c r="AQ11" s="472"/>
      <c r="AR11" s="473"/>
      <c r="AS11" s="103"/>
      <c r="AT11" s="100"/>
      <c r="AU11" s="591"/>
      <c r="AV11" s="591"/>
      <c r="AW11" s="591"/>
      <c r="AX11" s="591"/>
      <c r="AY11" s="590" t="str">
        <f t="shared" si="0"/>
        <v/>
      </c>
      <c r="AZ11" s="473"/>
      <c r="BA11" s="590"/>
      <c r="BB11" s="593"/>
    </row>
    <row r="12" spans="1:56" s="2" customFormat="1" ht="12.6" customHeight="1" x14ac:dyDescent="0.2">
      <c r="A12" s="6">
        <f>IF(TeamA!C9="","",TeamA!C9)</f>
        <v>0</v>
      </c>
      <c r="B12" s="501" t="str">
        <f>IF(TeamA!D9="","",TeamA!D9)</f>
        <v xml:space="preserve">      持山　剛</v>
      </c>
      <c r="C12" s="502"/>
      <c r="D12" s="502"/>
      <c r="E12" s="502"/>
      <c r="F12" s="502"/>
      <c r="G12" s="502"/>
      <c r="H12" s="502"/>
      <c r="I12" s="502"/>
      <c r="J12" s="502"/>
      <c r="K12" s="502"/>
      <c r="L12" s="502"/>
      <c r="M12" s="502"/>
      <c r="N12" s="502"/>
      <c r="O12" s="495" t="str">
        <f>IF(TeamA!E9="","",TeamA!E9)</f>
        <v/>
      </c>
      <c r="P12" s="495"/>
      <c r="Q12" s="496"/>
      <c r="R12" s="495"/>
      <c r="S12" s="496"/>
      <c r="T12" s="474">
        <f>IF(TeamA!F9="","",TeamA!F9)</f>
        <v>0</v>
      </c>
      <c r="U12" s="585"/>
      <c r="V12" s="227"/>
      <c r="W12" s="472"/>
      <c r="X12" s="472"/>
      <c r="Y12" s="473"/>
      <c r="Z12" s="100"/>
      <c r="AA12" s="100"/>
      <c r="AB12" s="100"/>
      <c r="AC12" s="99"/>
      <c r="AD12" s="6"/>
      <c r="AE12" s="4"/>
      <c r="AF12" s="4"/>
      <c r="AG12" s="4"/>
      <c r="AH12" s="450"/>
      <c r="AI12" s="451"/>
      <c r="AJ12" s="624"/>
      <c r="AK12" s="625"/>
      <c r="AL12" s="625"/>
      <c r="AM12" s="625"/>
      <c r="AN12" s="625"/>
      <c r="AO12" s="626"/>
      <c r="AP12" s="472"/>
      <c r="AQ12" s="472"/>
      <c r="AR12" s="473"/>
      <c r="AS12" s="103"/>
      <c r="AT12" s="100"/>
      <c r="AU12" s="591"/>
      <c r="AV12" s="591"/>
      <c r="AW12" s="591"/>
      <c r="AX12" s="591"/>
      <c r="AY12" s="590" t="str">
        <f t="shared" si="0"/>
        <v/>
      </c>
      <c r="AZ12" s="473"/>
      <c r="BA12" s="590"/>
      <c r="BB12" s="593"/>
    </row>
    <row r="13" spans="1:56" s="2" customFormat="1" ht="12.6" customHeight="1" x14ac:dyDescent="0.2">
      <c r="A13" s="31">
        <f>IF(TeamA!C10="","",TeamA!C10)</f>
        <v>0</v>
      </c>
      <c r="B13" s="569" t="str">
        <f>IF(TeamA!D10="","",TeamA!D10)</f>
        <v xml:space="preserve">      渡邊　誠</v>
      </c>
      <c r="C13" s="570"/>
      <c r="D13" s="570"/>
      <c r="E13" s="570"/>
      <c r="F13" s="570"/>
      <c r="G13" s="570"/>
      <c r="H13" s="570"/>
      <c r="I13" s="570"/>
      <c r="J13" s="570"/>
      <c r="K13" s="570"/>
      <c r="L13" s="570"/>
      <c r="M13" s="570"/>
      <c r="N13" s="570"/>
      <c r="O13" s="526" t="str">
        <f>IF(TeamA!E10="","",TeamA!E10)</f>
        <v/>
      </c>
      <c r="P13" s="526"/>
      <c r="Q13" s="487"/>
      <c r="R13" s="526"/>
      <c r="S13" s="487"/>
      <c r="T13" s="538">
        <f>IF(TeamA!F10="","",TeamA!F10)</f>
        <v>0</v>
      </c>
      <c r="U13" s="488"/>
      <c r="V13" s="227"/>
      <c r="W13" s="472"/>
      <c r="X13" s="472"/>
      <c r="Y13" s="473"/>
      <c r="Z13" s="100"/>
      <c r="AA13" s="100"/>
      <c r="AB13" s="100"/>
      <c r="AC13" s="99"/>
      <c r="AD13" s="6"/>
      <c r="AE13" s="4"/>
      <c r="AF13" s="4"/>
      <c r="AG13" s="4"/>
      <c r="AH13" s="450"/>
      <c r="AI13" s="451"/>
      <c r="AJ13" s="624"/>
      <c r="AK13" s="625"/>
      <c r="AL13" s="625"/>
      <c r="AM13" s="625"/>
      <c r="AN13" s="625"/>
      <c r="AO13" s="626"/>
      <c r="AP13" s="472"/>
      <c r="AQ13" s="472"/>
      <c r="AR13" s="473"/>
      <c r="AS13" s="103"/>
      <c r="AT13" s="100"/>
      <c r="AU13" s="591"/>
      <c r="AV13" s="591"/>
      <c r="AW13" s="591"/>
      <c r="AX13" s="591"/>
      <c r="AY13" s="590" t="str">
        <f t="shared" si="0"/>
        <v/>
      </c>
      <c r="AZ13" s="473"/>
      <c r="BA13" s="590"/>
      <c r="BB13" s="593"/>
    </row>
    <row r="14" spans="1:56" s="2" customFormat="1" ht="12.6" customHeight="1" x14ac:dyDescent="0.2">
      <c r="A14" s="11">
        <f>IF(TeamA!C11="","",TeamA!C11)</f>
        <v>0</v>
      </c>
      <c r="B14" s="490" t="str">
        <f>IF(TeamA!D11="","",TeamA!D11)</f>
        <v xml:space="preserve">      折目　啓伯</v>
      </c>
      <c r="C14" s="491"/>
      <c r="D14" s="491"/>
      <c r="E14" s="491"/>
      <c r="F14" s="491"/>
      <c r="G14" s="491"/>
      <c r="H14" s="491"/>
      <c r="I14" s="491"/>
      <c r="J14" s="491"/>
      <c r="K14" s="491"/>
      <c r="L14" s="491"/>
      <c r="M14" s="491"/>
      <c r="N14" s="491"/>
      <c r="O14" s="434" t="str">
        <f>IF(TeamA!E11="","",TeamA!E11)</f>
        <v/>
      </c>
      <c r="P14" s="434"/>
      <c r="Q14" s="492"/>
      <c r="R14" s="434"/>
      <c r="S14" s="492"/>
      <c r="T14" s="397">
        <f>IF(TeamA!F11="","",TeamA!F11)</f>
        <v>0</v>
      </c>
      <c r="U14" s="397"/>
      <c r="V14" s="227"/>
      <c r="W14" s="472"/>
      <c r="X14" s="472"/>
      <c r="Y14" s="473"/>
      <c r="Z14" s="100"/>
      <c r="AA14" s="100"/>
      <c r="AB14" s="100"/>
      <c r="AC14" s="99"/>
      <c r="AD14" s="6"/>
      <c r="AE14" s="4"/>
      <c r="AF14" s="4"/>
      <c r="AG14" s="4"/>
      <c r="AH14" s="450"/>
      <c r="AI14" s="451"/>
      <c r="AJ14" s="624"/>
      <c r="AK14" s="625"/>
      <c r="AL14" s="625"/>
      <c r="AM14" s="625"/>
      <c r="AN14" s="625"/>
      <c r="AO14" s="626"/>
      <c r="AP14" s="472"/>
      <c r="AQ14" s="472"/>
      <c r="AR14" s="473"/>
      <c r="AS14" s="103"/>
      <c r="AT14" s="100"/>
      <c r="AU14" s="591"/>
      <c r="AV14" s="591"/>
      <c r="AW14" s="591"/>
      <c r="AX14" s="591"/>
      <c r="AY14" s="590" t="str">
        <f t="shared" si="0"/>
        <v/>
      </c>
      <c r="AZ14" s="473"/>
      <c r="BA14" s="590"/>
      <c r="BB14" s="593"/>
    </row>
    <row r="15" spans="1:56" s="2" customFormat="1" ht="12.6" customHeight="1" x14ac:dyDescent="0.2">
      <c r="A15" s="6">
        <f>IF(TeamA!C12="","",TeamA!C12)</f>
        <v>0</v>
      </c>
      <c r="B15" s="501" t="str">
        <f>IF(TeamA!D12="","",TeamA!D12)</f>
        <v xml:space="preserve">      山本　秀彦</v>
      </c>
      <c r="C15" s="502"/>
      <c r="D15" s="502"/>
      <c r="E15" s="502"/>
      <c r="F15" s="502"/>
      <c r="G15" s="502"/>
      <c r="H15" s="502"/>
      <c r="I15" s="502"/>
      <c r="J15" s="502"/>
      <c r="K15" s="502"/>
      <c r="L15" s="502"/>
      <c r="M15" s="502"/>
      <c r="N15" s="502"/>
      <c r="O15" s="495" t="str">
        <f>IF(TeamA!E12="","",TeamA!E12)</f>
        <v/>
      </c>
      <c r="P15" s="495"/>
      <c r="Q15" s="496"/>
      <c r="R15" s="495"/>
      <c r="S15" s="496"/>
      <c r="T15" s="474">
        <f>IF(TeamA!F12="","",TeamA!F12)</f>
        <v>0</v>
      </c>
      <c r="U15" s="474"/>
      <c r="V15" s="227"/>
      <c r="W15" s="472"/>
      <c r="X15" s="472"/>
      <c r="Y15" s="473"/>
      <c r="Z15" s="100"/>
      <c r="AA15" s="100"/>
      <c r="AB15" s="100"/>
      <c r="AC15" s="99"/>
      <c r="AD15" s="6"/>
      <c r="AE15" s="4"/>
      <c r="AF15" s="4"/>
      <c r="AG15" s="4"/>
      <c r="AH15" s="450"/>
      <c r="AI15" s="451"/>
      <c r="AJ15" s="624"/>
      <c r="AK15" s="625"/>
      <c r="AL15" s="625"/>
      <c r="AM15" s="625"/>
      <c r="AN15" s="625"/>
      <c r="AO15" s="626"/>
      <c r="AP15" s="472"/>
      <c r="AQ15" s="472"/>
      <c r="AR15" s="473"/>
      <c r="AS15" s="104"/>
      <c r="AT15" s="100"/>
      <c r="AU15" s="591"/>
      <c r="AV15" s="591"/>
      <c r="AW15" s="591"/>
      <c r="AX15" s="591"/>
      <c r="AY15" s="590" t="str">
        <f t="shared" si="0"/>
        <v/>
      </c>
      <c r="AZ15" s="473"/>
      <c r="BA15" s="590"/>
      <c r="BB15" s="593"/>
    </row>
    <row r="16" spans="1:56" s="2" customFormat="1" ht="12.6" customHeight="1" x14ac:dyDescent="0.2">
      <c r="A16" s="6">
        <f>IF(TeamA!C13="","",TeamA!C13)</f>
        <v>0</v>
      </c>
      <c r="B16" s="501" t="str">
        <f>IF(TeamA!D13="","",TeamA!D13)</f>
        <v xml:space="preserve">      福谷　和久</v>
      </c>
      <c r="C16" s="502"/>
      <c r="D16" s="502"/>
      <c r="E16" s="502"/>
      <c r="F16" s="502"/>
      <c r="G16" s="502"/>
      <c r="H16" s="502"/>
      <c r="I16" s="502"/>
      <c r="J16" s="502"/>
      <c r="K16" s="502"/>
      <c r="L16" s="502"/>
      <c r="M16" s="502"/>
      <c r="N16" s="502"/>
      <c r="O16" s="495" t="str">
        <f>IF(TeamA!E13="","",TeamA!E13)</f>
        <v/>
      </c>
      <c r="P16" s="495"/>
      <c r="Q16" s="496"/>
      <c r="R16" s="495"/>
      <c r="S16" s="496"/>
      <c r="T16" s="474">
        <f>IF(TeamA!F13="","",TeamA!F13)</f>
        <v>0</v>
      </c>
      <c r="U16" s="474"/>
      <c r="V16" s="227"/>
      <c r="W16" s="472"/>
      <c r="X16" s="472"/>
      <c r="Y16" s="473"/>
      <c r="Z16" s="100"/>
      <c r="AA16" s="100"/>
      <c r="AB16" s="100"/>
      <c r="AC16" s="99"/>
      <c r="AD16" s="6"/>
      <c r="AE16" s="4"/>
      <c r="AF16" s="4"/>
      <c r="AG16" s="4"/>
      <c r="AH16" s="450"/>
      <c r="AI16" s="451"/>
      <c r="AJ16" s="624"/>
      <c r="AK16" s="625"/>
      <c r="AL16" s="625"/>
      <c r="AM16" s="625"/>
      <c r="AN16" s="625"/>
      <c r="AO16" s="626"/>
      <c r="AP16" s="472"/>
      <c r="AQ16" s="472"/>
      <c r="AR16" s="473"/>
      <c r="AS16" s="104"/>
      <c r="AT16" s="100"/>
      <c r="AU16" s="591"/>
      <c r="AV16" s="591"/>
      <c r="AW16" s="591"/>
      <c r="AX16" s="591"/>
      <c r="AY16" s="590" t="str">
        <f t="shared" si="0"/>
        <v/>
      </c>
      <c r="AZ16" s="473"/>
      <c r="BA16" s="590"/>
      <c r="BB16" s="593"/>
    </row>
    <row r="17" spans="1:54" s="2" customFormat="1" ht="12.6" customHeight="1" x14ac:dyDescent="0.2">
      <c r="A17" s="6">
        <f>IF(TeamA!C14="","",TeamA!C14)</f>
        <v>0</v>
      </c>
      <c r="B17" s="501" t="str">
        <f>IF(TeamA!D14="","",TeamA!D14)</f>
        <v>V   岸井　貴志</v>
      </c>
      <c r="C17" s="502"/>
      <c r="D17" s="502"/>
      <c r="E17" s="502"/>
      <c r="F17" s="502"/>
      <c r="G17" s="502"/>
      <c r="H17" s="502"/>
      <c r="I17" s="502"/>
      <c r="J17" s="502"/>
      <c r="K17" s="502"/>
      <c r="L17" s="502"/>
      <c r="M17" s="502"/>
      <c r="N17" s="502"/>
      <c r="O17" s="495" t="str">
        <f>IF(TeamA!E14="","",TeamA!E14)</f>
        <v/>
      </c>
      <c r="P17" s="495"/>
      <c r="Q17" s="496"/>
      <c r="R17" s="495"/>
      <c r="S17" s="496"/>
      <c r="T17" s="474">
        <f>IF(TeamA!F14="","",TeamA!F14)</f>
        <v>0</v>
      </c>
      <c r="U17" s="474"/>
      <c r="V17" s="227"/>
      <c r="W17" s="472"/>
      <c r="X17" s="472"/>
      <c r="Y17" s="473"/>
      <c r="Z17" s="100"/>
      <c r="AA17" s="100"/>
      <c r="AB17" s="100"/>
      <c r="AC17" s="99"/>
      <c r="AD17" s="6"/>
      <c r="AE17" s="4"/>
      <c r="AF17" s="4"/>
      <c r="AG17" s="4"/>
      <c r="AH17" s="450"/>
      <c r="AI17" s="451"/>
      <c r="AJ17" s="624"/>
      <c r="AK17" s="625"/>
      <c r="AL17" s="625"/>
      <c r="AM17" s="625"/>
      <c r="AN17" s="625"/>
      <c r="AO17" s="626"/>
      <c r="AP17" s="472"/>
      <c r="AQ17" s="472"/>
      <c r="AR17" s="473"/>
      <c r="AS17" s="104"/>
      <c r="AT17" s="100"/>
      <c r="AU17" s="591"/>
      <c r="AV17" s="591"/>
      <c r="AW17" s="591"/>
      <c r="AX17" s="591"/>
      <c r="AY17" s="590" t="str">
        <f t="shared" si="0"/>
        <v/>
      </c>
      <c r="AZ17" s="473"/>
      <c r="BA17" s="590"/>
      <c r="BB17" s="593"/>
    </row>
    <row r="18" spans="1:54" s="2" customFormat="1" ht="12.6" customHeight="1" x14ac:dyDescent="0.2">
      <c r="A18" s="28">
        <f>IF(TeamA!C15="","",TeamA!C15)</f>
        <v>0</v>
      </c>
      <c r="B18" s="569" t="str">
        <f>IF(TeamA!D15="","",TeamA!D15)</f>
        <v>V   三浦　雅也</v>
      </c>
      <c r="C18" s="570"/>
      <c r="D18" s="570"/>
      <c r="E18" s="570"/>
      <c r="F18" s="570"/>
      <c r="G18" s="570"/>
      <c r="H18" s="570"/>
      <c r="I18" s="570"/>
      <c r="J18" s="570"/>
      <c r="K18" s="570"/>
      <c r="L18" s="570"/>
      <c r="M18" s="570"/>
      <c r="N18" s="570"/>
      <c r="O18" s="580" t="str">
        <f>IF(TeamA!E15="","",TeamA!E15)</f>
        <v/>
      </c>
      <c r="P18" s="580"/>
      <c r="Q18" s="581"/>
      <c r="R18" s="580"/>
      <c r="S18" s="581"/>
      <c r="T18" s="586">
        <f>IF(TeamA!F15="","",TeamA!F15)</f>
        <v>0</v>
      </c>
      <c r="U18" s="586"/>
      <c r="V18" s="227"/>
      <c r="W18" s="472"/>
      <c r="X18" s="472"/>
      <c r="Y18" s="473"/>
      <c r="Z18" s="100"/>
      <c r="AA18" s="100"/>
      <c r="AB18" s="100"/>
      <c r="AC18" s="99"/>
      <c r="AD18" s="6"/>
      <c r="AE18" s="4"/>
      <c r="AF18" s="4"/>
      <c r="AG18" s="4"/>
      <c r="AH18" s="450"/>
      <c r="AI18" s="451"/>
      <c r="AJ18" s="624"/>
      <c r="AK18" s="625"/>
      <c r="AL18" s="625"/>
      <c r="AM18" s="625"/>
      <c r="AN18" s="625"/>
      <c r="AO18" s="626"/>
      <c r="AP18" s="472"/>
      <c r="AQ18" s="472"/>
      <c r="AR18" s="473"/>
      <c r="AS18" s="104"/>
      <c r="AT18" s="100"/>
      <c r="AU18" s="591"/>
      <c r="AV18" s="591"/>
      <c r="AW18" s="591"/>
      <c r="AX18" s="591"/>
      <c r="AY18" s="590" t="str">
        <f t="shared" si="0"/>
        <v/>
      </c>
      <c r="AZ18" s="473"/>
      <c r="BA18" s="590"/>
      <c r="BB18" s="593"/>
    </row>
    <row r="19" spans="1:54" s="2" customFormat="1" ht="12.6" customHeight="1" x14ac:dyDescent="0.2">
      <c r="A19" s="29">
        <f>IF(TeamA!C16="","",TeamA!C16)</f>
        <v>0</v>
      </c>
      <c r="B19" s="490" t="str">
        <f>IF(TeamA!D16="","",TeamA!D16)</f>
        <v>V   小山田　晃</v>
      </c>
      <c r="C19" s="491"/>
      <c r="D19" s="491"/>
      <c r="E19" s="491"/>
      <c r="F19" s="491"/>
      <c r="G19" s="491"/>
      <c r="H19" s="491"/>
      <c r="I19" s="491"/>
      <c r="J19" s="491"/>
      <c r="K19" s="491"/>
      <c r="L19" s="491"/>
      <c r="M19" s="491"/>
      <c r="N19" s="491"/>
      <c r="O19" s="481" t="str">
        <f>IF(TeamA!E16="","",TeamA!E16)</f>
        <v/>
      </c>
      <c r="P19" s="481"/>
      <c r="Q19" s="584"/>
      <c r="R19" s="481"/>
      <c r="S19" s="584"/>
      <c r="T19" s="493">
        <f>IF(TeamA!F16="","",TeamA!F16)</f>
        <v>0</v>
      </c>
      <c r="U19" s="494"/>
      <c r="V19" s="227"/>
      <c r="W19" s="472"/>
      <c r="X19" s="472"/>
      <c r="Y19" s="473"/>
      <c r="Z19" s="100"/>
      <c r="AA19" s="100"/>
      <c r="AB19" s="100"/>
      <c r="AC19" s="99"/>
      <c r="AD19" s="6"/>
      <c r="AE19" s="4"/>
      <c r="AF19" s="4"/>
      <c r="AG19" s="4"/>
      <c r="AH19" s="450"/>
      <c r="AI19" s="451"/>
      <c r="AJ19" s="624"/>
      <c r="AK19" s="625"/>
      <c r="AL19" s="625"/>
      <c r="AM19" s="625"/>
      <c r="AN19" s="625"/>
      <c r="AO19" s="626"/>
      <c r="AP19" s="472"/>
      <c r="AQ19" s="472"/>
      <c r="AR19" s="473"/>
      <c r="AS19" s="104"/>
      <c r="AT19" s="100"/>
      <c r="AU19" s="591"/>
      <c r="AV19" s="591"/>
      <c r="AW19" s="591"/>
      <c r="AX19" s="591"/>
      <c r="AY19" s="590" t="str">
        <f t="shared" si="0"/>
        <v/>
      </c>
      <c r="AZ19" s="473"/>
      <c r="BA19" s="590"/>
      <c r="BB19" s="593"/>
    </row>
    <row r="20" spans="1:54" s="2" customFormat="1" ht="12.6" customHeight="1" x14ac:dyDescent="0.2">
      <c r="A20" s="6">
        <f>IF(TeamA!C17="","",TeamA!C17)</f>
        <v>0</v>
      </c>
      <c r="B20" s="501" t="str">
        <f>IF(TeamA!D17="","",TeamA!D17)</f>
        <v>V   吉澤　大器</v>
      </c>
      <c r="C20" s="502"/>
      <c r="D20" s="502"/>
      <c r="E20" s="502"/>
      <c r="F20" s="502"/>
      <c r="G20" s="502"/>
      <c r="H20" s="502"/>
      <c r="I20" s="502"/>
      <c r="J20" s="502"/>
      <c r="K20" s="502"/>
      <c r="L20" s="502"/>
      <c r="M20" s="502"/>
      <c r="N20" s="502"/>
      <c r="O20" s="495" t="str">
        <f>IF(TeamA!E17="","",TeamA!E17)</f>
        <v/>
      </c>
      <c r="P20" s="495"/>
      <c r="Q20" s="496"/>
      <c r="R20" s="495"/>
      <c r="S20" s="496"/>
      <c r="T20" s="474">
        <f>IF(TeamA!F17="","",TeamA!F17)</f>
        <v>0</v>
      </c>
      <c r="U20" s="475"/>
      <c r="V20" s="227"/>
      <c r="W20" s="472"/>
      <c r="X20" s="472"/>
      <c r="Y20" s="473"/>
      <c r="Z20" s="100"/>
      <c r="AA20" s="100"/>
      <c r="AB20" s="100"/>
      <c r="AC20" s="99"/>
      <c r="AD20" s="6"/>
      <c r="AE20" s="4"/>
      <c r="AF20" s="4"/>
      <c r="AG20" s="4"/>
      <c r="AH20" s="450"/>
      <c r="AI20" s="451"/>
      <c r="AJ20" s="624"/>
      <c r="AK20" s="625"/>
      <c r="AL20" s="625"/>
      <c r="AM20" s="625"/>
      <c r="AN20" s="625"/>
      <c r="AO20" s="626"/>
      <c r="AP20" s="472"/>
      <c r="AQ20" s="472"/>
      <c r="AR20" s="473"/>
      <c r="AS20" s="104"/>
      <c r="AT20" s="100"/>
      <c r="AU20" s="591"/>
      <c r="AV20" s="591"/>
      <c r="AW20" s="591"/>
      <c r="AX20" s="591"/>
      <c r="AY20" s="590" t="str">
        <f t="shared" si="0"/>
        <v/>
      </c>
      <c r="AZ20" s="473"/>
      <c r="BA20" s="590"/>
      <c r="BB20" s="593"/>
    </row>
    <row r="21" spans="1:54" s="2" customFormat="1" ht="12.6" customHeight="1" x14ac:dyDescent="0.2">
      <c r="A21" s="6">
        <f>IF(TeamA!C18="","",TeamA!C18)</f>
        <v>0</v>
      </c>
      <c r="B21" s="501" t="str">
        <f>IF(TeamA!D18="","",TeamA!D18)</f>
        <v>V   山下　直樹</v>
      </c>
      <c r="C21" s="502"/>
      <c r="D21" s="502"/>
      <c r="E21" s="502"/>
      <c r="F21" s="502"/>
      <c r="G21" s="502"/>
      <c r="H21" s="502"/>
      <c r="I21" s="502"/>
      <c r="J21" s="502"/>
      <c r="K21" s="502"/>
      <c r="L21" s="502"/>
      <c r="M21" s="502"/>
      <c r="N21" s="502"/>
      <c r="O21" s="495" t="str">
        <f>IF(TeamA!E18="","",TeamA!E18)</f>
        <v/>
      </c>
      <c r="P21" s="495"/>
      <c r="Q21" s="496"/>
      <c r="R21" s="495"/>
      <c r="S21" s="496"/>
      <c r="T21" s="474">
        <f>IF(TeamA!F18="","",TeamA!F18)</f>
        <v>0</v>
      </c>
      <c r="U21" s="475"/>
      <c r="V21" s="227"/>
      <c r="W21" s="472"/>
      <c r="X21" s="472"/>
      <c r="Y21" s="473"/>
      <c r="Z21" s="100"/>
      <c r="AA21" s="100"/>
      <c r="AB21" s="100"/>
      <c r="AC21" s="99"/>
      <c r="AD21" s="6"/>
      <c r="AE21" s="4"/>
      <c r="AF21" s="4"/>
      <c r="AG21" s="4"/>
      <c r="AH21" s="450"/>
      <c r="AI21" s="451"/>
      <c r="AJ21" s="624"/>
      <c r="AK21" s="625"/>
      <c r="AL21" s="625"/>
      <c r="AM21" s="625"/>
      <c r="AN21" s="625"/>
      <c r="AO21" s="626"/>
      <c r="AP21" s="472"/>
      <c r="AQ21" s="472"/>
      <c r="AR21" s="473"/>
      <c r="AS21" s="104"/>
      <c r="AT21" s="100"/>
      <c r="AU21" s="591"/>
      <c r="AV21" s="591"/>
      <c r="AW21" s="591"/>
      <c r="AX21" s="591"/>
      <c r="AY21" s="590" t="str">
        <f t="shared" si="0"/>
        <v/>
      </c>
      <c r="AZ21" s="473"/>
      <c r="BA21" s="590"/>
      <c r="BB21" s="593"/>
    </row>
    <row r="22" spans="1:54" s="2" customFormat="1" ht="12.6" customHeight="1" x14ac:dyDescent="0.2">
      <c r="A22" s="6">
        <f>IF(TeamA!C19="","",TeamA!C19)</f>
        <v>0</v>
      </c>
      <c r="B22" s="501" t="str">
        <f>IF(TeamA!D19="","",TeamA!D19)</f>
        <v>V   奥野　稔明</v>
      </c>
      <c r="C22" s="502"/>
      <c r="D22" s="502"/>
      <c r="E22" s="502"/>
      <c r="F22" s="502"/>
      <c r="G22" s="502"/>
      <c r="H22" s="502"/>
      <c r="I22" s="502"/>
      <c r="J22" s="502"/>
      <c r="K22" s="502"/>
      <c r="L22" s="502"/>
      <c r="M22" s="502"/>
      <c r="N22" s="502"/>
      <c r="O22" s="495" t="str">
        <f>IF(TeamA!E19="","",TeamA!E19)</f>
        <v/>
      </c>
      <c r="P22" s="495"/>
      <c r="Q22" s="496"/>
      <c r="R22" s="495"/>
      <c r="S22" s="496"/>
      <c r="T22" s="474">
        <f>IF(TeamA!F19="","",TeamA!F19)</f>
        <v>0</v>
      </c>
      <c r="U22" s="475"/>
      <c r="V22" s="227"/>
      <c r="W22" s="472"/>
      <c r="X22" s="472"/>
      <c r="Y22" s="473"/>
      <c r="Z22" s="100"/>
      <c r="AA22" s="100"/>
      <c r="AB22" s="100"/>
      <c r="AC22" s="99"/>
      <c r="AD22" s="6"/>
      <c r="AE22" s="4"/>
      <c r="AF22" s="4"/>
      <c r="AG22" s="4"/>
      <c r="AH22" s="450"/>
      <c r="AI22" s="451"/>
      <c r="AJ22" s="624"/>
      <c r="AK22" s="625"/>
      <c r="AL22" s="625"/>
      <c r="AM22" s="625"/>
      <c r="AN22" s="625"/>
      <c r="AO22" s="626"/>
      <c r="AP22" s="472"/>
      <c r="AQ22" s="472"/>
      <c r="AR22" s="473"/>
      <c r="AS22" s="104"/>
      <c r="AT22" s="100"/>
      <c r="AU22" s="591"/>
      <c r="AV22" s="591"/>
      <c r="AW22" s="591"/>
      <c r="AX22" s="591"/>
      <c r="AY22" s="590" t="str">
        <f t="shared" si="0"/>
        <v/>
      </c>
      <c r="AZ22" s="473"/>
      <c r="BA22" s="590"/>
      <c r="BB22" s="593"/>
    </row>
    <row r="23" spans="1:54" s="2" customFormat="1" ht="12.6" customHeight="1" x14ac:dyDescent="0.2">
      <c r="A23" s="31">
        <f>IF(TeamA!C20="","",TeamA!C20)</f>
        <v>0</v>
      </c>
      <c r="B23" s="569" t="str">
        <f>IF(TeamA!D20="","",TeamA!D20)</f>
        <v>V   今里　悠人</v>
      </c>
      <c r="C23" s="570"/>
      <c r="D23" s="570"/>
      <c r="E23" s="570"/>
      <c r="F23" s="570"/>
      <c r="G23" s="570"/>
      <c r="H23" s="570"/>
      <c r="I23" s="570"/>
      <c r="J23" s="570"/>
      <c r="K23" s="570"/>
      <c r="L23" s="570"/>
      <c r="M23" s="570"/>
      <c r="N23" s="570"/>
      <c r="O23" s="526" t="str">
        <f>IF(TeamA!E20="","",TeamA!E20)</f>
        <v/>
      </c>
      <c r="P23" s="526"/>
      <c r="Q23" s="487"/>
      <c r="R23" s="526"/>
      <c r="S23" s="487"/>
      <c r="T23" s="538">
        <f>IF(TeamA!F20="","",TeamA!F20)</f>
        <v>0</v>
      </c>
      <c r="U23" s="488"/>
      <c r="V23" s="227"/>
      <c r="W23" s="472"/>
      <c r="X23" s="472"/>
      <c r="Y23" s="473"/>
      <c r="Z23" s="100"/>
      <c r="AA23" s="100"/>
      <c r="AB23" s="100"/>
      <c r="AC23" s="99"/>
      <c r="AD23" s="6"/>
      <c r="AE23" s="4"/>
      <c r="AF23" s="4"/>
      <c r="AG23" s="4"/>
      <c r="AH23" s="450"/>
      <c r="AI23" s="451"/>
      <c r="AJ23" s="624"/>
      <c r="AK23" s="625"/>
      <c r="AL23" s="625"/>
      <c r="AM23" s="625"/>
      <c r="AN23" s="625"/>
      <c r="AO23" s="626"/>
      <c r="AP23" s="472"/>
      <c r="AQ23" s="472"/>
      <c r="AR23" s="473"/>
      <c r="AS23" s="104"/>
      <c r="AT23" s="100"/>
      <c r="AU23" s="591"/>
      <c r="AV23" s="591"/>
      <c r="AW23" s="591"/>
      <c r="AX23" s="591"/>
      <c r="AY23" s="590" t="str">
        <f t="shared" si="0"/>
        <v/>
      </c>
      <c r="AZ23" s="473"/>
      <c r="BA23" s="590"/>
      <c r="BB23" s="593"/>
    </row>
    <row r="24" spans="1:54" s="2" customFormat="1" ht="12.6" customHeight="1" x14ac:dyDescent="0.2">
      <c r="A24" s="11">
        <f>IF(TeamA!C21="","",TeamA!C21)</f>
        <v>0</v>
      </c>
      <c r="B24" s="490" t="str">
        <f>IF(TeamA!D21="","",TeamA!D21)</f>
        <v>V   藤澤　岳瞭</v>
      </c>
      <c r="C24" s="491"/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34" t="str">
        <f>IF(TeamA!E21="","",TeamA!E21)</f>
        <v/>
      </c>
      <c r="P24" s="434"/>
      <c r="Q24" s="492"/>
      <c r="R24" s="434"/>
      <c r="S24" s="492"/>
      <c r="T24" s="397">
        <f>IF(TeamA!F21="","",TeamA!F21)</f>
        <v>0</v>
      </c>
      <c r="U24" s="397"/>
      <c r="V24" s="227"/>
      <c r="W24" s="472"/>
      <c r="X24" s="472"/>
      <c r="Y24" s="473"/>
      <c r="Z24" s="100"/>
      <c r="AA24" s="100"/>
      <c r="AB24" s="100"/>
      <c r="AC24" s="99"/>
      <c r="AD24" s="6"/>
      <c r="AE24" s="4"/>
      <c r="AF24" s="4"/>
      <c r="AG24" s="4"/>
      <c r="AH24" s="450"/>
      <c r="AI24" s="451"/>
      <c r="AJ24" s="624"/>
      <c r="AK24" s="625"/>
      <c r="AL24" s="625"/>
      <c r="AM24" s="625"/>
      <c r="AN24" s="625"/>
      <c r="AO24" s="626"/>
      <c r="AP24" s="472"/>
      <c r="AQ24" s="472"/>
      <c r="AR24" s="473"/>
      <c r="AS24" s="104"/>
      <c r="AT24" s="100"/>
      <c r="AU24" s="591"/>
      <c r="AV24" s="591"/>
      <c r="AW24" s="591"/>
      <c r="AX24" s="591"/>
      <c r="AY24" s="590" t="str">
        <f t="shared" si="0"/>
        <v/>
      </c>
      <c r="AZ24" s="473"/>
      <c r="BA24" s="590"/>
      <c r="BB24" s="593"/>
    </row>
    <row r="25" spans="1:54" s="2" customFormat="1" ht="12.6" customHeight="1" x14ac:dyDescent="0.2">
      <c r="A25" s="6">
        <f>IF(TeamA!C22="","",TeamA!C22)</f>
        <v>0</v>
      </c>
      <c r="B25" s="501" t="str">
        <f>IF(TeamA!D22="","",TeamA!D22)</f>
        <v>V   道祖土　貴大</v>
      </c>
      <c r="C25" s="502"/>
      <c r="D25" s="502"/>
      <c r="E25" s="502"/>
      <c r="F25" s="502"/>
      <c r="G25" s="502"/>
      <c r="H25" s="502"/>
      <c r="I25" s="502"/>
      <c r="J25" s="502"/>
      <c r="K25" s="502"/>
      <c r="L25" s="502"/>
      <c r="M25" s="502"/>
      <c r="N25" s="502"/>
      <c r="O25" s="495" t="str">
        <f>IF(TeamA!E22="","",TeamA!E22)</f>
        <v/>
      </c>
      <c r="P25" s="495"/>
      <c r="Q25" s="496"/>
      <c r="R25" s="495"/>
      <c r="S25" s="496"/>
      <c r="T25" s="474">
        <f>IF(TeamA!F22="","",TeamA!F22)</f>
        <v>0</v>
      </c>
      <c r="U25" s="474"/>
      <c r="V25" s="227"/>
      <c r="W25" s="472"/>
      <c r="X25" s="472"/>
      <c r="Y25" s="473"/>
      <c r="Z25" s="100"/>
      <c r="AA25" s="100"/>
      <c r="AB25" s="100"/>
      <c r="AC25" s="99"/>
      <c r="AD25" s="6"/>
      <c r="AE25" s="4"/>
      <c r="AF25" s="4"/>
      <c r="AG25" s="4"/>
      <c r="AH25" s="450"/>
      <c r="AI25" s="451"/>
      <c r="AJ25" s="624"/>
      <c r="AK25" s="625"/>
      <c r="AL25" s="625"/>
      <c r="AM25" s="625"/>
      <c r="AN25" s="625"/>
      <c r="AO25" s="626"/>
      <c r="AP25" s="472"/>
      <c r="AQ25" s="472"/>
      <c r="AR25" s="473"/>
      <c r="AS25" s="104"/>
      <c r="AT25" s="100"/>
      <c r="AU25" s="591"/>
      <c r="AV25" s="591"/>
      <c r="AW25" s="591"/>
      <c r="AX25" s="591"/>
      <c r="AY25" s="590" t="str">
        <f t="shared" si="0"/>
        <v/>
      </c>
      <c r="AZ25" s="473"/>
      <c r="BA25" s="590"/>
      <c r="BB25" s="593"/>
    </row>
    <row r="26" spans="1:54" s="2" customFormat="1" ht="12.6" customHeight="1" x14ac:dyDescent="0.2">
      <c r="A26" s="6">
        <f>IF(TeamA!C23="","",TeamA!C23)</f>
        <v>0</v>
      </c>
      <c r="B26" s="501" t="str">
        <f>IF(TeamA!D23="","",TeamA!D23)</f>
        <v>V   吉岡　唯</v>
      </c>
      <c r="C26" s="502"/>
      <c r="D26" s="502"/>
      <c r="E26" s="502"/>
      <c r="F26" s="502"/>
      <c r="G26" s="502"/>
      <c r="H26" s="502"/>
      <c r="I26" s="502"/>
      <c r="J26" s="502"/>
      <c r="K26" s="502"/>
      <c r="L26" s="502"/>
      <c r="M26" s="502"/>
      <c r="N26" s="502"/>
      <c r="O26" s="495" t="str">
        <f>IF(TeamA!E23="","",TeamA!E23)</f>
        <v/>
      </c>
      <c r="P26" s="495"/>
      <c r="Q26" s="496"/>
      <c r="R26" s="495"/>
      <c r="S26" s="496"/>
      <c r="T26" s="474">
        <f>IF(TeamA!F23="","",TeamA!F23)</f>
        <v>0</v>
      </c>
      <c r="U26" s="474"/>
      <c r="V26" s="227"/>
      <c r="W26" s="472"/>
      <c r="X26" s="472"/>
      <c r="Y26" s="473"/>
      <c r="Z26" s="100"/>
      <c r="AA26" s="100"/>
      <c r="AB26" s="100"/>
      <c r="AC26" s="99"/>
      <c r="AD26" s="6"/>
      <c r="AE26" s="4"/>
      <c r="AF26" s="4"/>
      <c r="AG26" s="4"/>
      <c r="AH26" s="450"/>
      <c r="AI26" s="451"/>
      <c r="AJ26" s="624"/>
      <c r="AK26" s="625"/>
      <c r="AL26" s="625"/>
      <c r="AM26" s="625"/>
      <c r="AN26" s="625"/>
      <c r="AO26" s="626"/>
      <c r="AP26" s="472"/>
      <c r="AQ26" s="472"/>
      <c r="AR26" s="473"/>
      <c r="AS26" s="104"/>
      <c r="AT26" s="100"/>
      <c r="AU26" s="591"/>
      <c r="AV26" s="591"/>
      <c r="AW26" s="591"/>
      <c r="AX26" s="591"/>
      <c r="AY26" s="590" t="str">
        <f t="shared" si="0"/>
        <v/>
      </c>
      <c r="AZ26" s="473"/>
      <c r="BA26" s="590"/>
      <c r="BB26" s="593"/>
    </row>
    <row r="27" spans="1:54" s="2" customFormat="1" ht="12.6" customHeight="1" x14ac:dyDescent="0.2">
      <c r="A27" s="6">
        <f>IF(TeamA!C24="","",TeamA!C24)</f>
        <v>0</v>
      </c>
      <c r="B27" s="501" t="str">
        <f>IF(TeamA!D24="","",TeamA!D24)</f>
        <v>V   巴　龍太郎</v>
      </c>
      <c r="C27" s="502"/>
      <c r="D27" s="502"/>
      <c r="E27" s="502"/>
      <c r="F27" s="502"/>
      <c r="G27" s="502"/>
      <c r="H27" s="502"/>
      <c r="I27" s="502"/>
      <c r="J27" s="502"/>
      <c r="K27" s="502"/>
      <c r="L27" s="502"/>
      <c r="M27" s="502"/>
      <c r="N27" s="502"/>
      <c r="O27" s="495" t="str">
        <f>IF(TeamA!E24="","",TeamA!E24)</f>
        <v/>
      </c>
      <c r="P27" s="495"/>
      <c r="Q27" s="496"/>
      <c r="R27" s="495"/>
      <c r="S27" s="496"/>
      <c r="T27" s="474">
        <f>IF(TeamA!F24="","",TeamA!F24)</f>
        <v>0</v>
      </c>
      <c r="U27" s="474"/>
      <c r="V27" s="227"/>
      <c r="W27" s="472"/>
      <c r="X27" s="472"/>
      <c r="Y27" s="473"/>
      <c r="Z27" s="100"/>
      <c r="AA27" s="100"/>
      <c r="AB27" s="100"/>
      <c r="AC27" s="99"/>
      <c r="AD27" s="31"/>
      <c r="AE27" s="378"/>
      <c r="AF27" s="378"/>
      <c r="AG27" s="378"/>
      <c r="AH27" s="588"/>
      <c r="AI27" s="589"/>
      <c r="AJ27" s="624"/>
      <c r="AK27" s="625"/>
      <c r="AL27" s="625"/>
      <c r="AM27" s="625"/>
      <c r="AN27" s="625"/>
      <c r="AO27" s="626"/>
      <c r="AP27" s="472"/>
      <c r="AQ27" s="472"/>
      <c r="AR27" s="473"/>
      <c r="AS27" s="104"/>
      <c r="AT27" s="100"/>
      <c r="AU27" s="591"/>
      <c r="AV27" s="591"/>
      <c r="AW27" s="591"/>
      <c r="AX27" s="591"/>
      <c r="AY27" s="590" t="str">
        <f t="shared" si="0"/>
        <v/>
      </c>
      <c r="AZ27" s="473"/>
      <c r="BA27" s="590"/>
      <c r="BB27" s="593"/>
    </row>
    <row r="28" spans="1:54" s="2" customFormat="1" ht="12.6" customHeight="1" x14ac:dyDescent="0.2">
      <c r="A28" s="31">
        <f>IF(TeamA!C25="","",TeamA!C25)</f>
        <v>0</v>
      </c>
      <c r="B28" s="569" t="str">
        <f>IF(TeamA!D25="","",TeamA!D25)</f>
        <v>V   神田　翔真</v>
      </c>
      <c r="C28" s="570"/>
      <c r="D28" s="570"/>
      <c r="E28" s="570"/>
      <c r="F28" s="570"/>
      <c r="G28" s="570"/>
      <c r="H28" s="570"/>
      <c r="I28" s="570"/>
      <c r="J28" s="570"/>
      <c r="K28" s="570"/>
      <c r="L28" s="570"/>
      <c r="M28" s="570"/>
      <c r="N28" s="570"/>
      <c r="O28" s="571" t="str">
        <f>IF(TeamA!E25="","",TeamA!E25)</f>
        <v/>
      </c>
      <c r="P28" s="526"/>
      <c r="Q28" s="487"/>
      <c r="R28" s="526"/>
      <c r="S28" s="487"/>
      <c r="T28" s="487">
        <f>IF(TeamA!F25="","",TeamA!F25)</f>
        <v>0</v>
      </c>
      <c r="U28" s="488"/>
      <c r="V28" s="227"/>
      <c r="W28" s="472"/>
      <c r="X28" s="472"/>
      <c r="Y28" s="473"/>
      <c r="Z28" s="100"/>
      <c r="AA28" s="100"/>
      <c r="AB28" s="100"/>
      <c r="AC28" s="101"/>
      <c r="AD28" s="520" t="s">
        <v>122</v>
      </c>
      <c r="AE28" s="521"/>
      <c r="AF28" s="521"/>
      <c r="AG28" s="521"/>
      <c r="AH28" s="521"/>
      <c r="AI28" s="522"/>
      <c r="AJ28" s="517" t="str">
        <f>IF(TeamA!D27="","",TeamA!D27)</f>
        <v xml:space="preserve">      西村　憲</v>
      </c>
      <c r="AK28" s="518"/>
      <c r="AL28" s="518"/>
      <c r="AM28" s="518"/>
      <c r="AN28" s="518"/>
      <c r="AO28" s="519"/>
      <c r="AP28" s="472"/>
      <c r="AQ28" s="472"/>
      <c r="AR28" s="473"/>
      <c r="AS28" s="104"/>
      <c r="AT28" s="100"/>
      <c r="AU28" s="591"/>
      <c r="AV28" s="591"/>
      <c r="AW28" s="591"/>
      <c r="AX28" s="591"/>
      <c r="AY28" s="590" t="str">
        <f t="shared" si="0"/>
        <v/>
      </c>
      <c r="AZ28" s="473"/>
      <c r="BA28" s="627"/>
      <c r="BB28" s="628"/>
    </row>
    <row r="29" spans="1:54" s="2" customFormat="1" ht="11.1" customHeight="1" x14ac:dyDescent="0.2">
      <c r="A29" s="456" t="s">
        <v>123</v>
      </c>
      <c r="B29" s="457"/>
      <c r="C29" s="457"/>
      <c r="D29" s="457"/>
      <c r="E29" s="457"/>
      <c r="F29" s="703"/>
      <c r="G29" s="689" t="s">
        <v>380</v>
      </c>
      <c r="H29" s="690"/>
      <c r="I29" s="690"/>
      <c r="J29" s="690"/>
      <c r="K29" s="690"/>
      <c r="L29" s="690"/>
      <c r="M29" s="690"/>
      <c r="N29" s="690"/>
      <c r="O29" s="691"/>
      <c r="P29" s="691"/>
      <c r="Q29" s="691"/>
      <c r="R29" s="690"/>
      <c r="S29" s="690"/>
      <c r="T29" s="690"/>
      <c r="U29" s="692"/>
      <c r="V29" s="452" t="s">
        <v>102</v>
      </c>
      <c r="W29" s="453"/>
      <c r="X29" s="453"/>
      <c r="Y29" s="453"/>
      <c r="Z29" s="453"/>
      <c r="AA29" s="453"/>
      <c r="AB29" s="453"/>
      <c r="AC29" s="453"/>
      <c r="AD29" s="456" t="s">
        <v>103</v>
      </c>
      <c r="AE29" s="457"/>
      <c r="AF29" s="457"/>
      <c r="AG29" s="457"/>
      <c r="AH29" s="457"/>
      <c r="AI29" s="458"/>
      <c r="AJ29" s="621"/>
      <c r="AK29" s="622"/>
      <c r="AL29" s="622"/>
      <c r="AM29" s="622"/>
      <c r="AN29" s="622"/>
      <c r="AO29" s="623"/>
      <c r="AP29" s="457" t="s">
        <v>124</v>
      </c>
      <c r="AQ29" s="457"/>
      <c r="AR29" s="457"/>
      <c r="AS29" s="457"/>
      <c r="AT29" s="457"/>
      <c r="AU29" s="457"/>
      <c r="AV29" s="457"/>
      <c r="AW29" s="457"/>
      <c r="AX29" s="457"/>
      <c r="AY29" s="457"/>
      <c r="AZ29" s="457"/>
      <c r="BA29" s="457"/>
      <c r="BB29" s="458"/>
    </row>
    <row r="30" spans="1:54" s="2" customFormat="1" ht="11.1" customHeight="1" x14ac:dyDescent="0.2">
      <c r="A30" s="704"/>
      <c r="B30" s="705"/>
      <c r="C30" s="705"/>
      <c r="D30" s="705"/>
      <c r="E30" s="705"/>
      <c r="F30" s="706"/>
      <c r="G30" s="693"/>
      <c r="H30" s="694"/>
      <c r="I30" s="694"/>
      <c r="J30" s="694"/>
      <c r="K30" s="694"/>
      <c r="L30" s="694"/>
      <c r="M30" s="694"/>
      <c r="N30" s="694"/>
      <c r="O30" s="694"/>
      <c r="P30" s="694"/>
      <c r="Q30" s="694"/>
      <c r="R30" s="694"/>
      <c r="S30" s="694"/>
      <c r="T30" s="694"/>
      <c r="U30" s="695"/>
      <c r="V30" s="454"/>
      <c r="W30" s="455"/>
      <c r="X30" s="455"/>
      <c r="Y30" s="455"/>
      <c r="Z30" s="455"/>
      <c r="AA30" s="455"/>
      <c r="AB30" s="455"/>
      <c r="AC30" s="455"/>
      <c r="AD30" s="459"/>
      <c r="AE30" s="460"/>
      <c r="AF30" s="460"/>
      <c r="AG30" s="460"/>
      <c r="AH30" s="460"/>
      <c r="AI30" s="461"/>
      <c r="AJ30" s="624"/>
      <c r="AK30" s="625"/>
      <c r="AL30" s="625"/>
      <c r="AM30" s="625"/>
      <c r="AN30" s="625"/>
      <c r="AO30" s="626"/>
      <c r="AP30" s="629"/>
      <c r="AQ30" s="629"/>
      <c r="AR30" s="629"/>
      <c r="AS30" s="629"/>
      <c r="AT30" s="629"/>
      <c r="AU30" s="629"/>
      <c r="AV30" s="629"/>
      <c r="AW30" s="629"/>
      <c r="AX30" s="629"/>
      <c r="AY30" s="629"/>
      <c r="AZ30" s="629"/>
      <c r="BA30" s="629"/>
      <c r="BB30" s="630"/>
    </row>
    <row r="31" spans="1:54" s="3" customFormat="1" ht="12.6" customHeight="1" x14ac:dyDescent="0.2">
      <c r="A31" s="382" t="s">
        <v>17</v>
      </c>
      <c r="B31" s="527" t="s">
        <v>105</v>
      </c>
      <c r="C31" s="528"/>
      <c r="D31" s="528"/>
      <c r="E31" s="528"/>
      <c r="F31" s="528"/>
      <c r="G31" s="528"/>
      <c r="H31" s="528"/>
      <c r="I31" s="528"/>
      <c r="J31" s="528"/>
      <c r="K31" s="528"/>
      <c r="L31" s="528"/>
      <c r="M31" s="528"/>
      <c r="N31" s="528"/>
      <c r="O31" s="416" t="s">
        <v>106</v>
      </c>
      <c r="P31" s="416"/>
      <c r="Q31" s="416"/>
      <c r="R31" s="416"/>
      <c r="S31" s="417"/>
      <c r="T31" s="503" t="s">
        <v>107</v>
      </c>
      <c r="U31" s="620"/>
      <c r="V31" s="382" t="s">
        <v>108</v>
      </c>
      <c r="W31" s="503" t="s">
        <v>109</v>
      </c>
      <c r="X31" s="503"/>
      <c r="Y31" s="503"/>
      <c r="Z31" s="373" t="s">
        <v>110</v>
      </c>
      <c r="AA31" s="373" t="s">
        <v>111</v>
      </c>
      <c r="AB31" s="373" t="s">
        <v>112</v>
      </c>
      <c r="AC31" s="368" t="s">
        <v>113</v>
      </c>
      <c r="AD31" s="382" t="s">
        <v>114</v>
      </c>
      <c r="AE31" s="373" t="s">
        <v>115</v>
      </c>
      <c r="AF31" s="38" t="s">
        <v>116</v>
      </c>
      <c r="AG31" s="38" t="s">
        <v>117</v>
      </c>
      <c r="AH31" s="445" t="s">
        <v>118</v>
      </c>
      <c r="AI31" s="446"/>
      <c r="AJ31" s="624"/>
      <c r="AK31" s="625"/>
      <c r="AL31" s="625"/>
      <c r="AM31" s="625"/>
      <c r="AN31" s="625"/>
      <c r="AO31" s="626"/>
      <c r="AP31" s="417" t="s">
        <v>109</v>
      </c>
      <c r="AQ31" s="503"/>
      <c r="AR31" s="503"/>
      <c r="AS31" s="373" t="s">
        <v>119</v>
      </c>
      <c r="AT31" s="373" t="s">
        <v>18</v>
      </c>
      <c r="AU31" s="503" t="s">
        <v>120</v>
      </c>
      <c r="AV31" s="503"/>
      <c r="AW31" s="503"/>
      <c r="AX31" s="503"/>
      <c r="AY31" s="503" t="s">
        <v>20</v>
      </c>
      <c r="AZ31" s="503"/>
      <c r="BA31" s="503" t="s">
        <v>121</v>
      </c>
      <c r="BB31" s="592"/>
    </row>
    <row r="32" spans="1:54" s="2" customFormat="1" ht="12.6" customHeight="1" x14ac:dyDescent="0.2">
      <c r="A32" s="11">
        <f>IF(TeamB!C4="","",TeamB!C4)</f>
        <v>0</v>
      </c>
      <c r="B32" s="490" t="str">
        <f>IF(TeamB!D4="","",TeamB!D4)</f>
        <v>V   松本　知之</v>
      </c>
      <c r="C32" s="491"/>
      <c r="D32" s="491"/>
      <c r="E32" s="491"/>
      <c r="F32" s="491"/>
      <c r="G32" s="491"/>
      <c r="H32" s="491"/>
      <c r="I32" s="491"/>
      <c r="J32" s="491"/>
      <c r="K32" s="491"/>
      <c r="L32" s="491"/>
      <c r="M32" s="491"/>
      <c r="N32" s="491"/>
      <c r="O32" s="533" t="str">
        <f>IF(TeamB!E4="","",TeamB!E4)</f>
        <v/>
      </c>
      <c r="P32" s="533"/>
      <c r="Q32" s="533"/>
      <c r="R32" s="533"/>
      <c r="S32" s="481"/>
      <c r="T32" s="493" t="str">
        <f>IF(TeamB!F4="","",TeamB!F4)</f>
        <v>G</v>
      </c>
      <c r="U32" s="587"/>
      <c r="V32" s="225"/>
      <c r="W32" s="472"/>
      <c r="X32" s="472"/>
      <c r="Y32" s="473"/>
      <c r="Z32" s="98"/>
      <c r="AA32" s="98"/>
      <c r="AB32" s="98"/>
      <c r="AC32" s="99"/>
      <c r="AD32" s="11"/>
      <c r="AE32" s="379"/>
      <c r="AF32" s="379"/>
      <c r="AG32" s="379"/>
      <c r="AH32" s="462"/>
      <c r="AI32" s="463"/>
      <c r="AJ32" s="624"/>
      <c r="AK32" s="625"/>
      <c r="AL32" s="625"/>
      <c r="AM32" s="625"/>
      <c r="AN32" s="625"/>
      <c r="AO32" s="626"/>
      <c r="AP32" s="472"/>
      <c r="AQ32" s="472"/>
      <c r="AR32" s="473"/>
      <c r="AS32" s="102"/>
      <c r="AT32" s="98"/>
      <c r="AU32" s="619"/>
      <c r="AV32" s="619"/>
      <c r="AW32" s="619"/>
      <c r="AX32" s="619"/>
      <c r="AY32" s="590" t="str">
        <f>IF(AP32="","",AP32)</f>
        <v/>
      </c>
      <c r="AZ32" s="473"/>
      <c r="BA32" s="590"/>
      <c r="BB32" s="593"/>
    </row>
    <row r="33" spans="1:54" s="2" customFormat="1" ht="12.6" customHeight="1" x14ac:dyDescent="0.2">
      <c r="A33" s="28">
        <f>IF(TeamB!C5="","",TeamB!C5)</f>
        <v>0</v>
      </c>
      <c r="B33" s="569" t="str">
        <f>IF(TeamB!D5="","",TeamB!D5)</f>
        <v>V   田村　宙志</v>
      </c>
      <c r="C33" s="570"/>
      <c r="D33" s="570"/>
      <c r="E33" s="570"/>
      <c r="F33" s="570"/>
      <c r="G33" s="570"/>
      <c r="H33" s="570"/>
      <c r="I33" s="570"/>
      <c r="J33" s="570"/>
      <c r="K33" s="570"/>
      <c r="L33" s="570"/>
      <c r="M33" s="570"/>
      <c r="N33" s="570"/>
      <c r="O33" s="580" t="str">
        <f>IF(TeamB!E5="","",TeamB!E5)</f>
        <v/>
      </c>
      <c r="P33" s="580"/>
      <c r="Q33" s="487"/>
      <c r="R33" s="526"/>
      <c r="S33" s="580"/>
      <c r="T33" s="586" t="str">
        <f>IF(TeamB!F5="","",TeamB!F5)</f>
        <v>G</v>
      </c>
      <c r="U33" s="586"/>
      <c r="V33" s="226"/>
      <c r="W33" s="472"/>
      <c r="X33" s="472"/>
      <c r="Y33" s="473"/>
      <c r="Z33" s="100"/>
      <c r="AA33" s="100"/>
      <c r="AB33" s="100"/>
      <c r="AC33" s="99"/>
      <c r="AD33" s="6"/>
      <c r="AE33" s="4"/>
      <c r="AF33" s="4"/>
      <c r="AG33" s="4"/>
      <c r="AH33" s="450"/>
      <c r="AI33" s="451"/>
      <c r="AJ33" s="624"/>
      <c r="AK33" s="625"/>
      <c r="AL33" s="625"/>
      <c r="AM33" s="625"/>
      <c r="AN33" s="625"/>
      <c r="AO33" s="626"/>
      <c r="AP33" s="472"/>
      <c r="AQ33" s="472"/>
      <c r="AR33" s="473"/>
      <c r="AS33" s="103"/>
      <c r="AT33" s="100"/>
      <c r="AU33" s="591"/>
      <c r="AV33" s="591"/>
      <c r="AW33" s="591"/>
      <c r="AX33" s="591"/>
      <c r="AY33" s="590" t="str">
        <f t="shared" ref="AY33:AY53" si="1">IF(AP33="","",AP33)</f>
        <v/>
      </c>
      <c r="AZ33" s="473"/>
      <c r="BA33" s="590"/>
      <c r="BB33" s="593"/>
    </row>
    <row r="34" spans="1:54" s="2" customFormat="1" ht="12.6" customHeight="1" x14ac:dyDescent="0.2">
      <c r="A34" s="29">
        <f>IF(TeamB!C6="","",TeamB!C6)</f>
        <v>0</v>
      </c>
      <c r="B34" s="490" t="str">
        <f>IF(TeamB!D6="","",TeamB!D6)</f>
        <v xml:space="preserve">      西村　憲</v>
      </c>
      <c r="C34" s="491"/>
      <c r="D34" s="491"/>
      <c r="E34" s="491"/>
      <c r="F34" s="491"/>
      <c r="G34" s="491"/>
      <c r="H34" s="491"/>
      <c r="I34" s="491"/>
      <c r="J34" s="491"/>
      <c r="K34" s="491"/>
      <c r="L34" s="491"/>
      <c r="M34" s="491"/>
      <c r="N34" s="491"/>
      <c r="O34" s="481" t="str">
        <f>IF(TeamB!E6="","",TeamB!E6)</f>
        <v>(A)</v>
      </c>
      <c r="P34" s="481"/>
      <c r="Q34" s="584"/>
      <c r="R34" s="481"/>
      <c r="S34" s="481"/>
      <c r="T34" s="493" t="str">
        <f>IF(TeamB!F6="","",TeamB!F6)</f>
        <v>D</v>
      </c>
      <c r="U34" s="494"/>
      <c r="V34" s="226"/>
      <c r="W34" s="472"/>
      <c r="X34" s="472"/>
      <c r="Y34" s="473"/>
      <c r="Z34" s="100"/>
      <c r="AA34" s="100"/>
      <c r="AB34" s="100"/>
      <c r="AC34" s="99"/>
      <c r="AD34" s="6"/>
      <c r="AE34" s="4"/>
      <c r="AF34" s="4"/>
      <c r="AG34" s="4"/>
      <c r="AH34" s="450"/>
      <c r="AI34" s="451"/>
      <c r="AJ34" s="624"/>
      <c r="AK34" s="625"/>
      <c r="AL34" s="625"/>
      <c r="AM34" s="625"/>
      <c r="AN34" s="625"/>
      <c r="AO34" s="626"/>
      <c r="AP34" s="472"/>
      <c r="AQ34" s="472"/>
      <c r="AR34" s="473"/>
      <c r="AS34" s="103"/>
      <c r="AT34" s="100"/>
      <c r="AU34" s="591"/>
      <c r="AV34" s="591"/>
      <c r="AW34" s="591"/>
      <c r="AX34" s="591"/>
      <c r="AY34" s="590" t="str">
        <f t="shared" si="1"/>
        <v/>
      </c>
      <c r="AZ34" s="473"/>
      <c r="BA34" s="590"/>
      <c r="BB34" s="593"/>
    </row>
    <row r="35" spans="1:54" s="2" customFormat="1" ht="12.6" customHeight="1" x14ac:dyDescent="0.2">
      <c r="A35" s="6">
        <f>IF(TeamB!C7="","",TeamB!C7)</f>
        <v>0</v>
      </c>
      <c r="B35" s="501" t="str">
        <f>IF(TeamB!D7="","",TeamB!D7)</f>
        <v xml:space="preserve">      木下　和則</v>
      </c>
      <c r="C35" s="502"/>
      <c r="D35" s="502"/>
      <c r="E35" s="502"/>
      <c r="F35" s="502"/>
      <c r="G35" s="502"/>
      <c r="H35" s="502"/>
      <c r="I35" s="502"/>
      <c r="J35" s="502"/>
      <c r="K35" s="502"/>
      <c r="L35" s="502"/>
      <c r="M35" s="502"/>
      <c r="N35" s="502"/>
      <c r="O35" s="495" t="str">
        <f>IF(TeamB!E7="","",TeamB!E7)</f>
        <v/>
      </c>
      <c r="P35" s="495"/>
      <c r="Q35" s="496"/>
      <c r="R35" s="495"/>
      <c r="S35" s="495"/>
      <c r="T35" s="474" t="str">
        <f>IF(TeamB!F7="","",TeamB!F7)</f>
        <v>D</v>
      </c>
      <c r="U35" s="475"/>
      <c r="V35" s="227"/>
      <c r="W35" s="472"/>
      <c r="X35" s="472"/>
      <c r="Y35" s="473"/>
      <c r="Z35" s="100"/>
      <c r="AA35" s="100"/>
      <c r="AB35" s="100"/>
      <c r="AC35" s="99"/>
      <c r="AD35" s="6"/>
      <c r="AE35" s="4"/>
      <c r="AF35" s="4"/>
      <c r="AG35" s="4"/>
      <c r="AH35" s="450"/>
      <c r="AI35" s="451"/>
      <c r="AJ35" s="624"/>
      <c r="AK35" s="625"/>
      <c r="AL35" s="625"/>
      <c r="AM35" s="625"/>
      <c r="AN35" s="625"/>
      <c r="AO35" s="626"/>
      <c r="AP35" s="472"/>
      <c r="AQ35" s="472"/>
      <c r="AR35" s="473"/>
      <c r="AS35" s="103"/>
      <c r="AT35" s="100"/>
      <c r="AU35" s="591"/>
      <c r="AV35" s="591"/>
      <c r="AW35" s="591"/>
      <c r="AX35" s="591"/>
      <c r="AY35" s="590" t="str">
        <f t="shared" si="1"/>
        <v/>
      </c>
      <c r="AZ35" s="473"/>
      <c r="BA35" s="590"/>
      <c r="BB35" s="593"/>
    </row>
    <row r="36" spans="1:54" s="2" customFormat="1" ht="12.6" customHeight="1" x14ac:dyDescent="0.2">
      <c r="A36" s="6">
        <f>IF(TeamB!C8="","",TeamB!C8)</f>
        <v>0</v>
      </c>
      <c r="B36" s="501" t="str">
        <f>IF(TeamB!D8="","",TeamB!D8)</f>
        <v xml:space="preserve">      佐藤　仁人</v>
      </c>
      <c r="C36" s="502"/>
      <c r="D36" s="502"/>
      <c r="E36" s="502"/>
      <c r="F36" s="502"/>
      <c r="G36" s="502"/>
      <c r="H36" s="502"/>
      <c r="I36" s="502"/>
      <c r="J36" s="502"/>
      <c r="K36" s="502"/>
      <c r="L36" s="502"/>
      <c r="M36" s="502"/>
      <c r="N36" s="502"/>
      <c r="O36" s="495" t="str">
        <f>IF(TeamB!E8="","",TeamB!E8)</f>
        <v>(A)</v>
      </c>
      <c r="P36" s="495"/>
      <c r="Q36" s="496"/>
      <c r="R36" s="495"/>
      <c r="S36" s="495"/>
      <c r="T36" s="474" t="str">
        <f>IF(TeamB!F8="","",TeamB!F8)</f>
        <v>D</v>
      </c>
      <c r="U36" s="475"/>
      <c r="V36" s="227"/>
      <c r="W36" s="472"/>
      <c r="X36" s="472"/>
      <c r="Y36" s="473"/>
      <c r="Z36" s="100"/>
      <c r="AA36" s="100"/>
      <c r="AB36" s="100"/>
      <c r="AC36" s="99"/>
      <c r="AD36" s="6"/>
      <c r="AE36" s="4"/>
      <c r="AF36" s="4"/>
      <c r="AG36" s="4"/>
      <c r="AH36" s="450"/>
      <c r="AI36" s="451"/>
      <c r="AJ36" s="624"/>
      <c r="AK36" s="625"/>
      <c r="AL36" s="625"/>
      <c r="AM36" s="625"/>
      <c r="AN36" s="625"/>
      <c r="AO36" s="626"/>
      <c r="AP36" s="472"/>
      <c r="AQ36" s="472"/>
      <c r="AR36" s="473"/>
      <c r="AS36" s="103"/>
      <c r="AT36" s="100"/>
      <c r="AU36" s="591"/>
      <c r="AV36" s="591"/>
      <c r="AW36" s="591"/>
      <c r="AX36" s="591"/>
      <c r="AY36" s="590" t="str">
        <f t="shared" si="1"/>
        <v/>
      </c>
      <c r="AZ36" s="473"/>
      <c r="BA36" s="590"/>
      <c r="BB36" s="593"/>
    </row>
    <row r="37" spans="1:54" s="2" customFormat="1" ht="12.6" customHeight="1" x14ac:dyDescent="0.2">
      <c r="A37" s="6">
        <f>IF(TeamB!C9="","",TeamB!C9)</f>
        <v>0</v>
      </c>
      <c r="B37" s="501" t="str">
        <f>IF(TeamB!D9="","",TeamB!D9)</f>
        <v xml:space="preserve">      岩本　純</v>
      </c>
      <c r="C37" s="502"/>
      <c r="D37" s="502"/>
      <c r="E37" s="502"/>
      <c r="F37" s="502"/>
      <c r="G37" s="502"/>
      <c r="H37" s="502"/>
      <c r="I37" s="502"/>
      <c r="J37" s="502"/>
      <c r="K37" s="502"/>
      <c r="L37" s="502"/>
      <c r="M37" s="502"/>
      <c r="N37" s="502"/>
      <c r="O37" s="495" t="str">
        <f>IF(TeamB!E9="","",TeamB!E9)</f>
        <v/>
      </c>
      <c r="P37" s="495"/>
      <c r="Q37" s="496"/>
      <c r="R37" s="495"/>
      <c r="S37" s="496"/>
      <c r="T37" s="474" t="str">
        <f>IF(TeamB!F9="","",TeamB!F9)</f>
        <v>D</v>
      </c>
      <c r="U37" s="585"/>
      <c r="V37" s="227"/>
      <c r="W37" s="472"/>
      <c r="X37" s="472"/>
      <c r="Y37" s="473"/>
      <c r="Z37" s="100"/>
      <c r="AA37" s="100"/>
      <c r="AB37" s="100"/>
      <c r="AC37" s="99"/>
      <c r="AD37" s="6"/>
      <c r="AE37" s="4"/>
      <c r="AF37" s="4"/>
      <c r="AG37" s="4"/>
      <c r="AH37" s="450"/>
      <c r="AI37" s="451"/>
      <c r="AJ37" s="624"/>
      <c r="AK37" s="625"/>
      <c r="AL37" s="625"/>
      <c r="AM37" s="625"/>
      <c r="AN37" s="625"/>
      <c r="AO37" s="626"/>
      <c r="AP37" s="472"/>
      <c r="AQ37" s="472"/>
      <c r="AR37" s="473"/>
      <c r="AS37" s="103"/>
      <c r="AT37" s="100"/>
      <c r="AU37" s="591"/>
      <c r="AV37" s="591"/>
      <c r="AW37" s="591"/>
      <c r="AX37" s="591"/>
      <c r="AY37" s="590" t="str">
        <f t="shared" si="1"/>
        <v/>
      </c>
      <c r="AZ37" s="473"/>
      <c r="BA37" s="590"/>
      <c r="BB37" s="593"/>
    </row>
    <row r="38" spans="1:54" s="2" customFormat="1" ht="12.6" customHeight="1" x14ac:dyDescent="0.2">
      <c r="A38" s="31">
        <f>IF(TeamB!C10="","",TeamB!C10)</f>
        <v>0</v>
      </c>
      <c r="B38" s="569" t="str">
        <f>IF(TeamB!D10="","",TeamB!D10)</f>
        <v xml:space="preserve">      賀川　寛之</v>
      </c>
      <c r="C38" s="570"/>
      <c r="D38" s="570"/>
      <c r="E38" s="570"/>
      <c r="F38" s="570"/>
      <c r="G38" s="570"/>
      <c r="H38" s="570"/>
      <c r="I38" s="570"/>
      <c r="J38" s="570"/>
      <c r="K38" s="570"/>
      <c r="L38" s="570"/>
      <c r="M38" s="570"/>
      <c r="N38" s="570"/>
      <c r="O38" s="526" t="str">
        <f>IF(TeamB!E10="","",TeamB!E10)</f>
        <v/>
      </c>
      <c r="P38" s="526"/>
      <c r="Q38" s="487"/>
      <c r="R38" s="526"/>
      <c r="S38" s="487"/>
      <c r="T38" s="538">
        <f>IF(TeamB!F10="","",TeamB!F10)</f>
        <v>0</v>
      </c>
      <c r="U38" s="488"/>
      <c r="V38" s="227"/>
      <c r="W38" s="472"/>
      <c r="X38" s="472"/>
      <c r="Y38" s="473"/>
      <c r="Z38" s="100"/>
      <c r="AA38" s="100"/>
      <c r="AB38" s="100"/>
      <c r="AC38" s="99"/>
      <c r="AD38" s="6"/>
      <c r="AE38" s="4"/>
      <c r="AF38" s="4"/>
      <c r="AG38" s="4"/>
      <c r="AH38" s="450"/>
      <c r="AI38" s="451"/>
      <c r="AJ38" s="624"/>
      <c r="AK38" s="625"/>
      <c r="AL38" s="625"/>
      <c r="AM38" s="625"/>
      <c r="AN38" s="625"/>
      <c r="AO38" s="626"/>
      <c r="AP38" s="472"/>
      <c r="AQ38" s="472"/>
      <c r="AR38" s="473"/>
      <c r="AS38" s="103"/>
      <c r="AT38" s="100"/>
      <c r="AU38" s="591"/>
      <c r="AV38" s="591"/>
      <c r="AW38" s="591"/>
      <c r="AX38" s="591"/>
      <c r="AY38" s="590" t="str">
        <f t="shared" si="1"/>
        <v/>
      </c>
      <c r="AZ38" s="473"/>
      <c r="BA38" s="590"/>
      <c r="BB38" s="593"/>
    </row>
    <row r="39" spans="1:54" s="2" customFormat="1" ht="12.6" customHeight="1" x14ac:dyDescent="0.2">
      <c r="A39" s="11">
        <f>IF(TeamB!C11="","",TeamB!C11)</f>
        <v>0</v>
      </c>
      <c r="B39" s="490" t="str">
        <f>IF(TeamB!D11="","",TeamB!D11)</f>
        <v xml:space="preserve">      塩谷　雅之</v>
      </c>
      <c r="C39" s="491"/>
      <c r="D39" s="491"/>
      <c r="E39" s="491"/>
      <c r="F39" s="491"/>
      <c r="G39" s="491"/>
      <c r="H39" s="491"/>
      <c r="I39" s="491"/>
      <c r="J39" s="491"/>
      <c r="K39" s="491"/>
      <c r="L39" s="491"/>
      <c r="M39" s="491"/>
      <c r="N39" s="491"/>
      <c r="O39" s="434" t="str">
        <f>IF(TeamB!E11="","",TeamB!E11)</f>
        <v/>
      </c>
      <c r="P39" s="434"/>
      <c r="Q39" s="492"/>
      <c r="R39" s="434"/>
      <c r="S39" s="492"/>
      <c r="T39" s="397">
        <f>IF(TeamB!F11="","",TeamB!F11)</f>
        <v>0</v>
      </c>
      <c r="U39" s="397"/>
      <c r="V39" s="227"/>
      <c r="W39" s="472"/>
      <c r="X39" s="472"/>
      <c r="Y39" s="473"/>
      <c r="Z39" s="100"/>
      <c r="AA39" s="100"/>
      <c r="AB39" s="100"/>
      <c r="AC39" s="99"/>
      <c r="AD39" s="6"/>
      <c r="AE39" s="4"/>
      <c r="AF39" s="4"/>
      <c r="AG39" s="4"/>
      <c r="AH39" s="450"/>
      <c r="AI39" s="451"/>
      <c r="AJ39" s="624"/>
      <c r="AK39" s="625"/>
      <c r="AL39" s="625"/>
      <c r="AM39" s="625"/>
      <c r="AN39" s="625"/>
      <c r="AO39" s="626"/>
      <c r="AP39" s="472"/>
      <c r="AQ39" s="472"/>
      <c r="AR39" s="473"/>
      <c r="AS39" s="103"/>
      <c r="AT39" s="100"/>
      <c r="AU39" s="591"/>
      <c r="AV39" s="591"/>
      <c r="AW39" s="591"/>
      <c r="AX39" s="591"/>
      <c r="AY39" s="590" t="str">
        <f t="shared" si="1"/>
        <v/>
      </c>
      <c r="AZ39" s="473"/>
      <c r="BA39" s="590"/>
      <c r="BB39" s="593"/>
    </row>
    <row r="40" spans="1:54" s="2" customFormat="1" ht="12.6" customHeight="1" x14ac:dyDescent="0.2">
      <c r="A40" s="6">
        <f>IF(TeamB!C12="","",TeamB!C12)</f>
        <v>0</v>
      </c>
      <c r="B40" s="501" t="str">
        <f>IF(TeamB!D12="","",TeamB!D12)</f>
        <v xml:space="preserve">      次田　智一</v>
      </c>
      <c r="C40" s="502"/>
      <c r="D40" s="502"/>
      <c r="E40" s="502"/>
      <c r="F40" s="502"/>
      <c r="G40" s="502"/>
      <c r="H40" s="502"/>
      <c r="I40" s="502"/>
      <c r="J40" s="502"/>
      <c r="K40" s="502"/>
      <c r="L40" s="502"/>
      <c r="M40" s="502"/>
      <c r="N40" s="502"/>
      <c r="O40" s="495" t="str">
        <f>IF(TeamB!E12="","",TeamB!E12)</f>
        <v/>
      </c>
      <c r="P40" s="495"/>
      <c r="Q40" s="496"/>
      <c r="R40" s="495"/>
      <c r="S40" s="496"/>
      <c r="T40" s="474">
        <f>IF(TeamB!F12="","",TeamB!F12)</f>
        <v>0</v>
      </c>
      <c r="U40" s="474"/>
      <c r="V40" s="227"/>
      <c r="W40" s="472"/>
      <c r="X40" s="472"/>
      <c r="Y40" s="473"/>
      <c r="Z40" s="100"/>
      <c r="AA40" s="100"/>
      <c r="AB40" s="100"/>
      <c r="AC40" s="99"/>
      <c r="AD40" s="6"/>
      <c r="AE40" s="4"/>
      <c r="AF40" s="4"/>
      <c r="AG40" s="4"/>
      <c r="AH40" s="450"/>
      <c r="AI40" s="451"/>
      <c r="AJ40" s="624"/>
      <c r="AK40" s="625"/>
      <c r="AL40" s="625"/>
      <c r="AM40" s="625"/>
      <c r="AN40" s="625"/>
      <c r="AO40" s="626"/>
      <c r="AP40" s="472"/>
      <c r="AQ40" s="472"/>
      <c r="AR40" s="473"/>
      <c r="AS40" s="104"/>
      <c r="AT40" s="100"/>
      <c r="AU40" s="591"/>
      <c r="AV40" s="591"/>
      <c r="AW40" s="591"/>
      <c r="AX40" s="591"/>
      <c r="AY40" s="590" t="str">
        <f t="shared" si="1"/>
        <v/>
      </c>
      <c r="AZ40" s="473"/>
      <c r="BA40" s="590"/>
      <c r="BB40" s="593"/>
    </row>
    <row r="41" spans="1:54" s="2" customFormat="1" ht="12.6" customHeight="1" x14ac:dyDescent="0.2">
      <c r="A41" s="6">
        <f>IF(TeamB!C13="","",TeamB!C13)</f>
        <v>0</v>
      </c>
      <c r="B41" s="501" t="str">
        <f>IF(TeamB!D13="","",TeamB!D13)</f>
        <v xml:space="preserve">      岸田　考広</v>
      </c>
      <c r="C41" s="502"/>
      <c r="D41" s="502"/>
      <c r="E41" s="502"/>
      <c r="F41" s="502"/>
      <c r="G41" s="502"/>
      <c r="H41" s="502"/>
      <c r="I41" s="502"/>
      <c r="J41" s="502"/>
      <c r="K41" s="502"/>
      <c r="L41" s="502"/>
      <c r="M41" s="502"/>
      <c r="N41" s="502"/>
      <c r="O41" s="495" t="str">
        <f>IF(TeamB!E13="","",TeamB!E13)</f>
        <v/>
      </c>
      <c r="P41" s="495"/>
      <c r="Q41" s="496"/>
      <c r="R41" s="495"/>
      <c r="S41" s="496"/>
      <c r="T41" s="474">
        <f>IF(TeamB!F13="","",TeamB!F13)</f>
        <v>0</v>
      </c>
      <c r="U41" s="474"/>
      <c r="V41" s="227"/>
      <c r="W41" s="472"/>
      <c r="X41" s="472"/>
      <c r="Y41" s="473"/>
      <c r="Z41" s="100"/>
      <c r="AA41" s="100"/>
      <c r="AB41" s="100"/>
      <c r="AC41" s="99"/>
      <c r="AD41" s="6"/>
      <c r="AE41" s="4"/>
      <c r="AF41" s="4"/>
      <c r="AG41" s="4"/>
      <c r="AH41" s="450"/>
      <c r="AI41" s="451"/>
      <c r="AJ41" s="624"/>
      <c r="AK41" s="625"/>
      <c r="AL41" s="625"/>
      <c r="AM41" s="625"/>
      <c r="AN41" s="625"/>
      <c r="AO41" s="626"/>
      <c r="AP41" s="472"/>
      <c r="AQ41" s="472"/>
      <c r="AR41" s="473"/>
      <c r="AS41" s="104"/>
      <c r="AT41" s="100"/>
      <c r="AU41" s="591"/>
      <c r="AV41" s="591"/>
      <c r="AW41" s="591"/>
      <c r="AX41" s="591"/>
      <c r="AY41" s="590" t="str">
        <f t="shared" si="1"/>
        <v/>
      </c>
      <c r="AZ41" s="473"/>
      <c r="BA41" s="590"/>
      <c r="BB41" s="593"/>
    </row>
    <row r="42" spans="1:54" s="2" customFormat="1" ht="12.6" customHeight="1" x14ac:dyDescent="0.2">
      <c r="A42" s="6">
        <f>IF(TeamB!C14="","",TeamB!C14)</f>
        <v>0</v>
      </c>
      <c r="B42" s="501" t="str">
        <f>IF(TeamB!D14="","",TeamB!D14)</f>
        <v xml:space="preserve">      竹内　誠司</v>
      </c>
      <c r="C42" s="502"/>
      <c r="D42" s="502"/>
      <c r="E42" s="502"/>
      <c r="F42" s="502"/>
      <c r="G42" s="502"/>
      <c r="H42" s="502"/>
      <c r="I42" s="502"/>
      <c r="J42" s="502"/>
      <c r="K42" s="502"/>
      <c r="L42" s="502"/>
      <c r="M42" s="502"/>
      <c r="N42" s="502"/>
      <c r="O42" s="495" t="str">
        <f>IF(TeamB!E14="","",TeamB!E14)</f>
        <v/>
      </c>
      <c r="P42" s="495"/>
      <c r="Q42" s="496"/>
      <c r="R42" s="495"/>
      <c r="S42" s="496"/>
      <c r="T42" s="474">
        <f>IF(TeamB!F14="","",TeamB!F14)</f>
        <v>0</v>
      </c>
      <c r="U42" s="474"/>
      <c r="V42" s="227"/>
      <c r="W42" s="472"/>
      <c r="X42" s="472"/>
      <c r="Y42" s="473"/>
      <c r="Z42" s="100"/>
      <c r="AA42" s="100"/>
      <c r="AB42" s="100"/>
      <c r="AC42" s="99"/>
      <c r="AD42" s="6"/>
      <c r="AE42" s="4"/>
      <c r="AF42" s="4"/>
      <c r="AG42" s="4"/>
      <c r="AH42" s="450"/>
      <c r="AI42" s="451"/>
      <c r="AJ42" s="624"/>
      <c r="AK42" s="625"/>
      <c r="AL42" s="625"/>
      <c r="AM42" s="625"/>
      <c r="AN42" s="625"/>
      <c r="AO42" s="626"/>
      <c r="AP42" s="472"/>
      <c r="AQ42" s="472"/>
      <c r="AR42" s="473"/>
      <c r="AS42" s="104"/>
      <c r="AT42" s="100"/>
      <c r="AU42" s="591"/>
      <c r="AV42" s="591"/>
      <c r="AW42" s="591"/>
      <c r="AX42" s="591"/>
      <c r="AY42" s="590" t="str">
        <f t="shared" si="1"/>
        <v/>
      </c>
      <c r="AZ42" s="473"/>
      <c r="BA42" s="590"/>
      <c r="BB42" s="593"/>
    </row>
    <row r="43" spans="1:54" s="2" customFormat="1" ht="12.6" customHeight="1" x14ac:dyDescent="0.2">
      <c r="A43" s="28">
        <f>IF(TeamB!C15="","",TeamB!C15)</f>
        <v>0</v>
      </c>
      <c r="B43" s="569" t="str">
        <f>IF(TeamB!D15="","",TeamB!D15)</f>
        <v xml:space="preserve">      勝山　栄</v>
      </c>
      <c r="C43" s="570"/>
      <c r="D43" s="570"/>
      <c r="E43" s="570"/>
      <c r="F43" s="570"/>
      <c r="G43" s="570"/>
      <c r="H43" s="570"/>
      <c r="I43" s="570"/>
      <c r="J43" s="570"/>
      <c r="K43" s="570"/>
      <c r="L43" s="570"/>
      <c r="M43" s="570"/>
      <c r="N43" s="570"/>
      <c r="O43" s="580" t="str">
        <f>IF(TeamB!E15="","",TeamB!E15)</f>
        <v/>
      </c>
      <c r="P43" s="580"/>
      <c r="Q43" s="581"/>
      <c r="R43" s="580"/>
      <c r="S43" s="581"/>
      <c r="T43" s="586">
        <f>IF(TeamB!F15="","",TeamB!F15)</f>
        <v>0</v>
      </c>
      <c r="U43" s="586"/>
      <c r="V43" s="227"/>
      <c r="W43" s="472"/>
      <c r="X43" s="472"/>
      <c r="Y43" s="473"/>
      <c r="Z43" s="100"/>
      <c r="AA43" s="100"/>
      <c r="AB43" s="100"/>
      <c r="AC43" s="99"/>
      <c r="AD43" s="6"/>
      <c r="AE43" s="4"/>
      <c r="AF43" s="4"/>
      <c r="AG43" s="4"/>
      <c r="AH43" s="450"/>
      <c r="AI43" s="451"/>
      <c r="AJ43" s="624"/>
      <c r="AK43" s="625"/>
      <c r="AL43" s="625"/>
      <c r="AM43" s="625"/>
      <c r="AN43" s="625"/>
      <c r="AO43" s="626"/>
      <c r="AP43" s="472"/>
      <c r="AQ43" s="472"/>
      <c r="AR43" s="473"/>
      <c r="AS43" s="104"/>
      <c r="AT43" s="100"/>
      <c r="AU43" s="591"/>
      <c r="AV43" s="591"/>
      <c r="AW43" s="591"/>
      <c r="AX43" s="591"/>
      <c r="AY43" s="590" t="str">
        <f t="shared" si="1"/>
        <v/>
      </c>
      <c r="AZ43" s="473"/>
      <c r="BA43" s="590"/>
      <c r="BB43" s="593"/>
    </row>
    <row r="44" spans="1:54" s="2" customFormat="1" ht="12.6" customHeight="1" x14ac:dyDescent="0.2">
      <c r="A44" s="29">
        <f>IF(TeamB!C16="","",TeamB!C16)</f>
        <v>0</v>
      </c>
      <c r="B44" s="490" t="str">
        <f>IF(TeamB!D16="","",TeamB!D16)</f>
        <v xml:space="preserve">      斎　理</v>
      </c>
      <c r="C44" s="491"/>
      <c r="D44" s="491"/>
      <c r="E44" s="491"/>
      <c r="F44" s="491"/>
      <c r="G44" s="491"/>
      <c r="H44" s="491"/>
      <c r="I44" s="491"/>
      <c r="J44" s="491"/>
      <c r="K44" s="491"/>
      <c r="L44" s="491"/>
      <c r="M44" s="491"/>
      <c r="N44" s="491"/>
      <c r="O44" s="481" t="str">
        <f>IF(TeamB!E16="","",TeamB!E16)</f>
        <v/>
      </c>
      <c r="P44" s="481"/>
      <c r="Q44" s="584"/>
      <c r="R44" s="481"/>
      <c r="S44" s="584"/>
      <c r="T44" s="493">
        <f>IF(TeamB!F16="","",TeamB!F16)</f>
        <v>0</v>
      </c>
      <c r="U44" s="494"/>
      <c r="V44" s="227"/>
      <c r="W44" s="472"/>
      <c r="X44" s="472"/>
      <c r="Y44" s="473"/>
      <c r="Z44" s="100"/>
      <c r="AA44" s="100"/>
      <c r="AB44" s="100"/>
      <c r="AC44" s="99"/>
      <c r="AD44" s="6"/>
      <c r="AE44" s="4"/>
      <c r="AF44" s="4"/>
      <c r="AG44" s="4"/>
      <c r="AH44" s="450"/>
      <c r="AI44" s="451"/>
      <c r="AJ44" s="624"/>
      <c r="AK44" s="625"/>
      <c r="AL44" s="625"/>
      <c r="AM44" s="625"/>
      <c r="AN44" s="625"/>
      <c r="AO44" s="626"/>
      <c r="AP44" s="472"/>
      <c r="AQ44" s="472"/>
      <c r="AR44" s="473"/>
      <c r="AS44" s="104"/>
      <c r="AT44" s="100"/>
      <c r="AU44" s="591"/>
      <c r="AV44" s="591"/>
      <c r="AW44" s="591"/>
      <c r="AX44" s="591"/>
      <c r="AY44" s="590" t="str">
        <f t="shared" si="1"/>
        <v/>
      </c>
      <c r="AZ44" s="473"/>
      <c r="BA44" s="590"/>
      <c r="BB44" s="593"/>
    </row>
    <row r="45" spans="1:54" s="2" customFormat="1" ht="12.6" customHeight="1" x14ac:dyDescent="0.2">
      <c r="A45" s="6">
        <f>IF(TeamB!C17="","",TeamB!C17)</f>
        <v>0</v>
      </c>
      <c r="B45" s="501" t="str">
        <f>IF(TeamB!D17="","",TeamB!D17)</f>
        <v>V   萩原　拓</v>
      </c>
      <c r="C45" s="502"/>
      <c r="D45" s="502"/>
      <c r="E45" s="502"/>
      <c r="F45" s="502"/>
      <c r="G45" s="502"/>
      <c r="H45" s="502"/>
      <c r="I45" s="502"/>
      <c r="J45" s="502"/>
      <c r="K45" s="502"/>
      <c r="L45" s="502"/>
      <c r="M45" s="502"/>
      <c r="N45" s="502"/>
      <c r="O45" s="495" t="str">
        <f>IF(TeamB!E17="","",TeamB!E17)</f>
        <v/>
      </c>
      <c r="P45" s="495"/>
      <c r="Q45" s="496"/>
      <c r="R45" s="495"/>
      <c r="S45" s="496"/>
      <c r="T45" s="474">
        <f>IF(TeamB!F17="","",TeamB!F17)</f>
        <v>0</v>
      </c>
      <c r="U45" s="475"/>
      <c r="V45" s="227"/>
      <c r="W45" s="472"/>
      <c r="X45" s="472"/>
      <c r="Y45" s="473"/>
      <c r="Z45" s="100"/>
      <c r="AA45" s="100"/>
      <c r="AB45" s="100"/>
      <c r="AC45" s="99"/>
      <c r="AD45" s="6"/>
      <c r="AE45" s="4"/>
      <c r="AF45" s="4"/>
      <c r="AG45" s="4"/>
      <c r="AH45" s="450"/>
      <c r="AI45" s="451"/>
      <c r="AJ45" s="624"/>
      <c r="AK45" s="625"/>
      <c r="AL45" s="625"/>
      <c r="AM45" s="625"/>
      <c r="AN45" s="625"/>
      <c r="AO45" s="626"/>
      <c r="AP45" s="472"/>
      <c r="AQ45" s="472"/>
      <c r="AR45" s="473"/>
      <c r="AS45" s="104"/>
      <c r="AT45" s="100"/>
      <c r="AU45" s="591"/>
      <c r="AV45" s="591"/>
      <c r="AW45" s="591"/>
      <c r="AX45" s="591"/>
      <c r="AY45" s="590" t="str">
        <f t="shared" si="1"/>
        <v/>
      </c>
      <c r="AZ45" s="473"/>
      <c r="BA45" s="590"/>
      <c r="BB45" s="593"/>
    </row>
    <row r="46" spans="1:54" s="2" customFormat="1" ht="12.6" customHeight="1" x14ac:dyDescent="0.2">
      <c r="A46" s="6">
        <f>IF(TeamB!C18="","",TeamB!C18)</f>
        <v>0</v>
      </c>
      <c r="B46" s="501" t="str">
        <f>IF(TeamB!D18="","",TeamB!D18)</f>
        <v>V   岩崎　佑樹</v>
      </c>
      <c r="C46" s="502"/>
      <c r="D46" s="502"/>
      <c r="E46" s="502"/>
      <c r="F46" s="502"/>
      <c r="G46" s="502"/>
      <c r="H46" s="502"/>
      <c r="I46" s="502"/>
      <c r="J46" s="502"/>
      <c r="K46" s="502"/>
      <c r="L46" s="502"/>
      <c r="M46" s="502"/>
      <c r="N46" s="502"/>
      <c r="O46" s="495" t="str">
        <f>IF(TeamB!E18="","",TeamB!E18)</f>
        <v/>
      </c>
      <c r="P46" s="495"/>
      <c r="Q46" s="496"/>
      <c r="R46" s="495"/>
      <c r="S46" s="496"/>
      <c r="T46" s="474">
        <f>IF(TeamB!F18="","",TeamB!F18)</f>
        <v>0</v>
      </c>
      <c r="U46" s="475"/>
      <c r="V46" s="227"/>
      <c r="W46" s="472"/>
      <c r="X46" s="472"/>
      <c r="Y46" s="473"/>
      <c r="Z46" s="100"/>
      <c r="AA46" s="100"/>
      <c r="AB46" s="100"/>
      <c r="AC46" s="99"/>
      <c r="AD46" s="6"/>
      <c r="AE46" s="4"/>
      <c r="AF46" s="4"/>
      <c r="AG46" s="4"/>
      <c r="AH46" s="450"/>
      <c r="AI46" s="451"/>
      <c r="AJ46" s="624"/>
      <c r="AK46" s="625"/>
      <c r="AL46" s="625"/>
      <c r="AM46" s="625"/>
      <c r="AN46" s="625"/>
      <c r="AO46" s="626"/>
      <c r="AP46" s="472"/>
      <c r="AQ46" s="472"/>
      <c r="AR46" s="473"/>
      <c r="AS46" s="104"/>
      <c r="AT46" s="100"/>
      <c r="AU46" s="591"/>
      <c r="AV46" s="591"/>
      <c r="AW46" s="591"/>
      <c r="AX46" s="591"/>
      <c r="AY46" s="590" t="str">
        <f t="shared" si="1"/>
        <v/>
      </c>
      <c r="AZ46" s="473"/>
      <c r="BA46" s="590"/>
      <c r="BB46" s="593"/>
    </row>
    <row r="47" spans="1:54" s="2" customFormat="1" ht="12.6" customHeight="1" x14ac:dyDescent="0.2">
      <c r="A47" s="6">
        <f>IF(TeamB!C19="","",TeamB!C19)</f>
        <v>0</v>
      </c>
      <c r="B47" s="501" t="str">
        <f>IF(TeamB!D19="","",TeamB!D19)</f>
        <v>V   鈴木　政洋</v>
      </c>
      <c r="C47" s="502"/>
      <c r="D47" s="502"/>
      <c r="E47" s="502"/>
      <c r="F47" s="502"/>
      <c r="G47" s="502"/>
      <c r="H47" s="502"/>
      <c r="I47" s="502"/>
      <c r="J47" s="502"/>
      <c r="K47" s="502"/>
      <c r="L47" s="502"/>
      <c r="M47" s="502"/>
      <c r="N47" s="502"/>
      <c r="O47" s="495" t="str">
        <f>IF(TeamB!E19="","",TeamB!E19)</f>
        <v>(C)</v>
      </c>
      <c r="P47" s="495"/>
      <c r="Q47" s="496"/>
      <c r="R47" s="495"/>
      <c r="S47" s="496"/>
      <c r="T47" s="474">
        <f>IF(TeamB!F19="","",TeamB!F19)</f>
        <v>0</v>
      </c>
      <c r="U47" s="475"/>
      <c r="V47" s="227"/>
      <c r="W47" s="472"/>
      <c r="X47" s="472"/>
      <c r="Y47" s="473"/>
      <c r="Z47" s="100"/>
      <c r="AA47" s="100"/>
      <c r="AB47" s="100"/>
      <c r="AC47" s="99"/>
      <c r="AD47" s="6"/>
      <c r="AE47" s="4"/>
      <c r="AF47" s="4"/>
      <c r="AG47" s="4"/>
      <c r="AH47" s="450"/>
      <c r="AI47" s="451"/>
      <c r="AJ47" s="624"/>
      <c r="AK47" s="625"/>
      <c r="AL47" s="625"/>
      <c r="AM47" s="625"/>
      <c r="AN47" s="625"/>
      <c r="AO47" s="626"/>
      <c r="AP47" s="472"/>
      <c r="AQ47" s="472"/>
      <c r="AR47" s="473"/>
      <c r="AS47" s="104"/>
      <c r="AT47" s="100"/>
      <c r="AU47" s="591"/>
      <c r="AV47" s="591"/>
      <c r="AW47" s="591"/>
      <c r="AX47" s="591"/>
      <c r="AY47" s="590" t="str">
        <f t="shared" si="1"/>
        <v/>
      </c>
      <c r="AZ47" s="473"/>
      <c r="BA47" s="590"/>
      <c r="BB47" s="593"/>
    </row>
    <row r="48" spans="1:54" s="2" customFormat="1" ht="12.6" customHeight="1" x14ac:dyDescent="0.2">
      <c r="A48" s="31">
        <f>IF(TeamB!C20="","",TeamB!C20)</f>
        <v>0</v>
      </c>
      <c r="B48" s="569" t="str">
        <f>IF(TeamB!D20="","",TeamB!D20)</f>
        <v>V   長尾　翔太</v>
      </c>
      <c r="C48" s="570"/>
      <c r="D48" s="570"/>
      <c r="E48" s="570"/>
      <c r="F48" s="570"/>
      <c r="G48" s="570"/>
      <c r="H48" s="570"/>
      <c r="I48" s="570"/>
      <c r="J48" s="570"/>
      <c r="K48" s="570"/>
      <c r="L48" s="570"/>
      <c r="M48" s="570"/>
      <c r="N48" s="570"/>
      <c r="O48" s="526" t="str">
        <f>IF(TeamB!E20="","",TeamB!E20)</f>
        <v/>
      </c>
      <c r="P48" s="526"/>
      <c r="Q48" s="487"/>
      <c r="R48" s="526"/>
      <c r="S48" s="487"/>
      <c r="T48" s="538">
        <f>IF(TeamB!F20="","",TeamB!F20)</f>
        <v>0</v>
      </c>
      <c r="U48" s="488"/>
      <c r="V48" s="227"/>
      <c r="W48" s="472"/>
      <c r="X48" s="472"/>
      <c r="Y48" s="473"/>
      <c r="Z48" s="100"/>
      <c r="AA48" s="100"/>
      <c r="AB48" s="100"/>
      <c r="AC48" s="99"/>
      <c r="AD48" s="6"/>
      <c r="AE48" s="4"/>
      <c r="AF48" s="4"/>
      <c r="AG48" s="4"/>
      <c r="AH48" s="450"/>
      <c r="AI48" s="451"/>
      <c r="AJ48" s="624"/>
      <c r="AK48" s="625"/>
      <c r="AL48" s="625"/>
      <c r="AM48" s="625"/>
      <c r="AN48" s="625"/>
      <c r="AO48" s="626"/>
      <c r="AP48" s="472"/>
      <c r="AQ48" s="472"/>
      <c r="AR48" s="473"/>
      <c r="AS48" s="104"/>
      <c r="AT48" s="100"/>
      <c r="AU48" s="591"/>
      <c r="AV48" s="591"/>
      <c r="AW48" s="591"/>
      <c r="AX48" s="591"/>
      <c r="AY48" s="590" t="str">
        <f t="shared" si="1"/>
        <v/>
      </c>
      <c r="AZ48" s="473"/>
      <c r="BA48" s="590"/>
      <c r="BB48" s="593"/>
    </row>
    <row r="49" spans="1:54" s="2" customFormat="1" ht="12.6" customHeight="1" x14ac:dyDescent="0.2">
      <c r="A49" s="11" t="str">
        <f>IF(TeamB!C21="","",TeamB!C21)</f>
        <v>-</v>
      </c>
      <c r="B49" s="490" t="str">
        <f>IF(TeamB!D21="","",TeamB!D21)</f>
        <v>-</v>
      </c>
      <c r="C49" s="491"/>
      <c r="D49" s="491"/>
      <c r="E49" s="491"/>
      <c r="F49" s="491"/>
      <c r="G49" s="491"/>
      <c r="H49" s="491"/>
      <c r="I49" s="491"/>
      <c r="J49" s="491"/>
      <c r="K49" s="491"/>
      <c r="L49" s="491"/>
      <c r="M49" s="491"/>
      <c r="N49" s="491"/>
      <c r="O49" s="434" t="str">
        <f>IF(TeamB!E21="","",TeamB!E21)</f>
        <v/>
      </c>
      <c r="P49" s="434"/>
      <c r="Q49" s="492"/>
      <c r="R49" s="434"/>
      <c r="S49" s="492"/>
      <c r="T49" s="397" t="str">
        <f>IF(TeamB!F21="","",TeamB!F21)</f>
        <v>-</v>
      </c>
      <c r="U49" s="397"/>
      <c r="V49" s="227"/>
      <c r="W49" s="472"/>
      <c r="X49" s="472"/>
      <c r="Y49" s="473"/>
      <c r="Z49" s="100"/>
      <c r="AA49" s="100"/>
      <c r="AB49" s="100"/>
      <c r="AC49" s="99"/>
      <c r="AD49" s="6"/>
      <c r="AE49" s="4"/>
      <c r="AF49" s="4"/>
      <c r="AG49" s="4"/>
      <c r="AH49" s="450"/>
      <c r="AI49" s="451"/>
      <c r="AJ49" s="624"/>
      <c r="AK49" s="625"/>
      <c r="AL49" s="625"/>
      <c r="AM49" s="625"/>
      <c r="AN49" s="625"/>
      <c r="AO49" s="626"/>
      <c r="AP49" s="472"/>
      <c r="AQ49" s="472"/>
      <c r="AR49" s="473"/>
      <c r="AS49" s="104"/>
      <c r="AT49" s="100"/>
      <c r="AU49" s="591"/>
      <c r="AV49" s="591"/>
      <c r="AW49" s="591"/>
      <c r="AX49" s="591"/>
      <c r="AY49" s="590" t="str">
        <f t="shared" si="1"/>
        <v/>
      </c>
      <c r="AZ49" s="473"/>
      <c r="BA49" s="590"/>
      <c r="BB49" s="593"/>
    </row>
    <row r="50" spans="1:54" s="2" customFormat="1" ht="12.6" customHeight="1" x14ac:dyDescent="0.2">
      <c r="A50" s="6" t="str">
        <f>IF(TeamB!C22="","",TeamB!C22)</f>
        <v>-</v>
      </c>
      <c r="B50" s="501" t="str">
        <f>IF(TeamB!D22="","",TeamB!D22)</f>
        <v>-</v>
      </c>
      <c r="C50" s="502"/>
      <c r="D50" s="502"/>
      <c r="E50" s="502"/>
      <c r="F50" s="502"/>
      <c r="G50" s="502"/>
      <c r="H50" s="502"/>
      <c r="I50" s="502"/>
      <c r="J50" s="502"/>
      <c r="K50" s="502"/>
      <c r="L50" s="502"/>
      <c r="M50" s="502"/>
      <c r="N50" s="502"/>
      <c r="O50" s="495" t="str">
        <f>IF(TeamB!E22="","",TeamB!E22)</f>
        <v/>
      </c>
      <c r="P50" s="495"/>
      <c r="Q50" s="496"/>
      <c r="R50" s="495"/>
      <c r="S50" s="496"/>
      <c r="T50" s="474" t="str">
        <f>IF(TeamB!F22="","",TeamB!F22)</f>
        <v>-</v>
      </c>
      <c r="U50" s="474"/>
      <c r="V50" s="227"/>
      <c r="W50" s="472"/>
      <c r="X50" s="472"/>
      <c r="Y50" s="473"/>
      <c r="Z50" s="100"/>
      <c r="AA50" s="100"/>
      <c r="AB50" s="100"/>
      <c r="AC50" s="99"/>
      <c r="AD50" s="6"/>
      <c r="AE50" s="4"/>
      <c r="AF50" s="4"/>
      <c r="AG50" s="4"/>
      <c r="AH50" s="450"/>
      <c r="AI50" s="451"/>
      <c r="AJ50" s="624"/>
      <c r="AK50" s="625"/>
      <c r="AL50" s="625"/>
      <c r="AM50" s="625"/>
      <c r="AN50" s="625"/>
      <c r="AO50" s="626"/>
      <c r="AP50" s="472"/>
      <c r="AQ50" s="472"/>
      <c r="AR50" s="473"/>
      <c r="AS50" s="104"/>
      <c r="AT50" s="100"/>
      <c r="AU50" s="591"/>
      <c r="AV50" s="591"/>
      <c r="AW50" s="591"/>
      <c r="AX50" s="591"/>
      <c r="AY50" s="590" t="str">
        <f t="shared" si="1"/>
        <v/>
      </c>
      <c r="AZ50" s="473"/>
      <c r="BA50" s="590"/>
      <c r="BB50" s="593"/>
    </row>
    <row r="51" spans="1:54" s="2" customFormat="1" ht="12.6" customHeight="1" x14ac:dyDescent="0.2">
      <c r="A51" s="6" t="str">
        <f>IF(TeamB!C23="","",TeamB!C23)</f>
        <v>-</v>
      </c>
      <c r="B51" s="501" t="str">
        <f>IF(TeamB!D23="","",TeamB!D23)</f>
        <v>-</v>
      </c>
      <c r="C51" s="502"/>
      <c r="D51" s="502"/>
      <c r="E51" s="502"/>
      <c r="F51" s="502"/>
      <c r="G51" s="502"/>
      <c r="H51" s="502"/>
      <c r="I51" s="502"/>
      <c r="J51" s="502"/>
      <c r="K51" s="502"/>
      <c r="L51" s="502"/>
      <c r="M51" s="502"/>
      <c r="N51" s="502"/>
      <c r="O51" s="495" t="str">
        <f>IF(TeamB!E23="","",TeamB!E23)</f>
        <v/>
      </c>
      <c r="P51" s="495"/>
      <c r="Q51" s="496"/>
      <c r="R51" s="495"/>
      <c r="S51" s="496"/>
      <c r="T51" s="474" t="str">
        <f>IF(TeamB!F23="","",TeamB!F23)</f>
        <v>-</v>
      </c>
      <c r="U51" s="474"/>
      <c r="V51" s="227"/>
      <c r="W51" s="472"/>
      <c r="X51" s="472"/>
      <c r="Y51" s="473"/>
      <c r="Z51" s="100"/>
      <c r="AA51" s="100"/>
      <c r="AB51" s="100"/>
      <c r="AC51" s="99"/>
      <c r="AD51" s="6"/>
      <c r="AE51" s="4"/>
      <c r="AF51" s="4"/>
      <c r="AG51" s="4"/>
      <c r="AH51" s="450"/>
      <c r="AI51" s="451"/>
      <c r="AJ51" s="624"/>
      <c r="AK51" s="625"/>
      <c r="AL51" s="625"/>
      <c r="AM51" s="625"/>
      <c r="AN51" s="625"/>
      <c r="AO51" s="626"/>
      <c r="AP51" s="472"/>
      <c r="AQ51" s="472"/>
      <c r="AR51" s="473"/>
      <c r="AS51" s="104"/>
      <c r="AT51" s="100"/>
      <c r="AU51" s="591"/>
      <c r="AV51" s="591"/>
      <c r="AW51" s="591"/>
      <c r="AX51" s="591"/>
      <c r="AY51" s="590" t="str">
        <f t="shared" si="1"/>
        <v/>
      </c>
      <c r="AZ51" s="473"/>
      <c r="BA51" s="590"/>
      <c r="BB51" s="593"/>
    </row>
    <row r="52" spans="1:54" s="2" customFormat="1" ht="12.6" customHeight="1" x14ac:dyDescent="0.2">
      <c r="A52" s="6" t="str">
        <f>IF(TeamB!C24="","",TeamB!C24)</f>
        <v>-</v>
      </c>
      <c r="B52" s="501" t="str">
        <f>IF(TeamB!D24="","",TeamB!D24)</f>
        <v>-</v>
      </c>
      <c r="C52" s="502"/>
      <c r="D52" s="502"/>
      <c r="E52" s="502"/>
      <c r="F52" s="502"/>
      <c r="G52" s="502"/>
      <c r="H52" s="502"/>
      <c r="I52" s="502"/>
      <c r="J52" s="502"/>
      <c r="K52" s="502"/>
      <c r="L52" s="502"/>
      <c r="M52" s="502"/>
      <c r="N52" s="502"/>
      <c r="O52" s="495" t="str">
        <f>IF(TeamB!E24="","",TeamB!E24)</f>
        <v/>
      </c>
      <c r="P52" s="495"/>
      <c r="Q52" s="496"/>
      <c r="R52" s="495"/>
      <c r="S52" s="496"/>
      <c r="T52" s="474" t="str">
        <f>IF(TeamB!F24="","",TeamB!F24)</f>
        <v>-</v>
      </c>
      <c r="U52" s="474"/>
      <c r="V52" s="227"/>
      <c r="W52" s="472"/>
      <c r="X52" s="472"/>
      <c r="Y52" s="473"/>
      <c r="Z52" s="100"/>
      <c r="AA52" s="100"/>
      <c r="AB52" s="100"/>
      <c r="AC52" s="99"/>
      <c r="AD52" s="31"/>
      <c r="AE52" s="378"/>
      <c r="AF52" s="378"/>
      <c r="AG52" s="378"/>
      <c r="AH52" s="588"/>
      <c r="AI52" s="589"/>
      <c r="AJ52" s="624"/>
      <c r="AK52" s="625"/>
      <c r="AL52" s="625"/>
      <c r="AM52" s="625"/>
      <c r="AN52" s="625"/>
      <c r="AO52" s="626"/>
      <c r="AP52" s="472"/>
      <c r="AQ52" s="472"/>
      <c r="AR52" s="473"/>
      <c r="AS52" s="104"/>
      <c r="AT52" s="100"/>
      <c r="AU52" s="591"/>
      <c r="AV52" s="591"/>
      <c r="AW52" s="591"/>
      <c r="AX52" s="591"/>
      <c r="AY52" s="590" t="str">
        <f t="shared" si="1"/>
        <v/>
      </c>
      <c r="AZ52" s="473"/>
      <c r="BA52" s="590"/>
      <c r="BB52" s="593"/>
    </row>
    <row r="53" spans="1:54" s="2" customFormat="1" ht="12" customHeight="1" x14ac:dyDescent="0.2">
      <c r="A53" s="31" t="str">
        <f>IF(TeamB!C25="","",TeamB!C25)</f>
        <v>-</v>
      </c>
      <c r="B53" s="569" t="str">
        <f>IF(TeamB!D25="","",TeamB!D25)</f>
        <v>-</v>
      </c>
      <c r="C53" s="570"/>
      <c r="D53" s="570"/>
      <c r="E53" s="570"/>
      <c r="F53" s="570"/>
      <c r="G53" s="570"/>
      <c r="H53" s="570"/>
      <c r="I53" s="570"/>
      <c r="J53" s="570"/>
      <c r="K53" s="570"/>
      <c r="L53" s="570"/>
      <c r="M53" s="570"/>
      <c r="N53" s="570"/>
      <c r="O53" s="571" t="str">
        <f>IF(TeamB!E25="","",TeamB!E25)</f>
        <v/>
      </c>
      <c r="P53" s="526"/>
      <c r="Q53" s="487"/>
      <c r="R53" s="526"/>
      <c r="S53" s="487"/>
      <c r="T53" s="487" t="str">
        <f>IF(TeamB!F25="","",TeamB!F25)</f>
        <v>-</v>
      </c>
      <c r="U53" s="488"/>
      <c r="V53" s="228"/>
      <c r="W53" s="472"/>
      <c r="X53" s="472"/>
      <c r="Y53" s="473"/>
      <c r="Z53" s="105"/>
      <c r="AA53" s="105"/>
      <c r="AB53" s="105"/>
      <c r="AC53" s="101"/>
      <c r="AD53" s="520" t="s">
        <v>122</v>
      </c>
      <c r="AE53" s="521"/>
      <c r="AF53" s="521"/>
      <c r="AG53" s="521"/>
      <c r="AH53" s="521"/>
      <c r="AI53" s="522"/>
      <c r="AJ53" s="517" t="str">
        <f>IF(TeamB!D27="","",TeamB!D27)</f>
        <v xml:space="preserve">      岸井　貴志</v>
      </c>
      <c r="AK53" s="518"/>
      <c r="AL53" s="518"/>
      <c r="AM53" s="518"/>
      <c r="AN53" s="518"/>
      <c r="AO53" s="519"/>
      <c r="AP53" s="656"/>
      <c r="AQ53" s="657"/>
      <c r="AR53" s="658"/>
      <c r="AS53" s="106"/>
      <c r="AT53" s="105"/>
      <c r="AU53" s="646"/>
      <c r="AV53" s="646"/>
      <c r="AW53" s="646"/>
      <c r="AX53" s="646"/>
      <c r="AY53" s="627" t="str">
        <f t="shared" si="1"/>
        <v/>
      </c>
      <c r="AZ53" s="658"/>
      <c r="BA53" s="627"/>
      <c r="BB53" s="628"/>
    </row>
    <row r="54" spans="1:54" s="5" customFormat="1" ht="12.6" customHeight="1" x14ac:dyDescent="0.2">
      <c r="A54" s="499" t="s">
        <v>125</v>
      </c>
      <c r="B54" s="500"/>
      <c r="C54" s="500"/>
      <c r="D54" s="500"/>
      <c r="E54" s="500"/>
      <c r="F54" s="500"/>
      <c r="G54" s="500"/>
      <c r="H54" s="500"/>
      <c r="I54" s="500"/>
      <c r="J54" s="500"/>
      <c r="K54" s="500"/>
      <c r="L54" s="500"/>
      <c r="M54" s="485"/>
      <c r="N54" s="485"/>
      <c r="O54" s="486"/>
      <c r="P54" s="486"/>
      <c r="Q54" s="485"/>
      <c r="R54" s="485"/>
      <c r="S54" s="372"/>
      <c r="T54" s="485"/>
      <c r="U54" s="486"/>
      <c r="V54" s="485" t="s">
        <v>126</v>
      </c>
      <c r="W54" s="486"/>
      <c r="X54" s="486"/>
      <c r="Y54" s="486"/>
      <c r="Z54" s="33"/>
      <c r="AA54" s="33"/>
      <c r="AB54" s="33"/>
      <c r="AC54" s="33"/>
      <c r="AD54" s="33"/>
      <c r="AE54" s="33" t="s">
        <v>127</v>
      </c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 t="s">
        <v>128</v>
      </c>
      <c r="AW54" s="33"/>
      <c r="AX54" s="33"/>
      <c r="AY54" s="33"/>
      <c r="AZ54" s="33"/>
      <c r="BA54" s="33"/>
      <c r="BB54" s="33"/>
    </row>
    <row r="55" spans="1:54" s="5" customFormat="1" ht="12.6" customHeight="1" x14ac:dyDescent="0.2">
      <c r="A55" s="497" t="s">
        <v>129</v>
      </c>
      <c r="B55" s="498"/>
      <c r="C55" s="567" t="s">
        <v>130</v>
      </c>
      <c r="D55" s="567"/>
      <c r="E55" s="568"/>
      <c r="F55" s="479" t="s">
        <v>131</v>
      </c>
      <c r="G55" s="479"/>
      <c r="H55" s="568"/>
      <c r="I55" s="479" t="s">
        <v>132</v>
      </c>
      <c r="J55" s="479"/>
      <c r="K55" s="479"/>
      <c r="L55" s="572" t="s">
        <v>133</v>
      </c>
      <c r="M55" s="573"/>
      <c r="N55" s="573"/>
      <c r="O55" s="573"/>
      <c r="P55" s="573"/>
      <c r="Q55" s="574"/>
      <c r="R55" s="567" t="s">
        <v>134</v>
      </c>
      <c r="S55" s="568"/>
      <c r="T55" s="568"/>
      <c r="U55" s="568"/>
      <c r="V55" s="478" t="s">
        <v>135</v>
      </c>
      <c r="W55" s="479"/>
      <c r="X55" s="479" t="s">
        <v>136</v>
      </c>
      <c r="Y55" s="568"/>
      <c r="Z55" s="568" t="s">
        <v>137</v>
      </c>
      <c r="AA55" s="567"/>
      <c r="AB55" s="479" t="s">
        <v>138</v>
      </c>
      <c r="AC55" s="498"/>
      <c r="AD55" s="34"/>
      <c r="AE55" s="631" t="s">
        <v>116</v>
      </c>
      <c r="AF55" s="573"/>
      <c r="AG55" s="568" t="s">
        <v>139</v>
      </c>
      <c r="AH55" s="574"/>
      <c r="AI55" s="572" t="s">
        <v>140</v>
      </c>
      <c r="AJ55" s="573"/>
      <c r="AK55" s="568" t="s">
        <v>117</v>
      </c>
      <c r="AL55" s="573"/>
      <c r="AM55" s="568" t="s">
        <v>139</v>
      </c>
      <c r="AN55" s="574"/>
      <c r="AO55" s="568" t="s">
        <v>140</v>
      </c>
      <c r="AP55" s="686"/>
      <c r="AQ55" s="33"/>
      <c r="AR55" s="33"/>
      <c r="AS55" s="33"/>
      <c r="AT55" s="33"/>
      <c r="AU55" s="33"/>
      <c r="AV55" s="644" t="s">
        <v>109</v>
      </c>
      <c r="AW55" s="645"/>
      <c r="AX55" s="645"/>
      <c r="AY55" s="645" t="s">
        <v>116</v>
      </c>
      <c r="AZ55" s="645"/>
      <c r="BA55" s="645" t="s">
        <v>117</v>
      </c>
      <c r="BB55" s="680"/>
    </row>
    <row r="56" spans="1:54" ht="12.6" customHeight="1" x14ac:dyDescent="0.2">
      <c r="A56" s="575">
        <v>1</v>
      </c>
      <c r="B56" s="576"/>
      <c r="C56" s="366">
        <v>0</v>
      </c>
      <c r="D56" s="369" t="s">
        <v>141</v>
      </c>
      <c r="E56" s="371">
        <v>0</v>
      </c>
      <c r="F56" s="380">
        <f>C56+(IF(ISBLANK(Z56),"0",SUM(Z56:AC56)))</f>
        <v>0</v>
      </c>
      <c r="G56" s="371" t="s">
        <v>141</v>
      </c>
      <c r="H56" s="375">
        <f>E56+(IF(ISBLANK(V56),"0",SUM(V56:Y56)))</f>
        <v>0</v>
      </c>
      <c r="I56" s="90">
        <v>0</v>
      </c>
      <c r="J56" s="371" t="s">
        <v>141</v>
      </c>
      <c r="K56" s="91">
        <v>0</v>
      </c>
      <c r="L56" s="480">
        <v>0</v>
      </c>
      <c r="M56" s="480"/>
      <c r="N56" s="480" t="s">
        <v>141</v>
      </c>
      <c r="O56" s="482"/>
      <c r="P56" s="480">
        <v>0</v>
      </c>
      <c r="Q56" s="481"/>
      <c r="R56" s="366">
        <v>0</v>
      </c>
      <c r="S56" s="489" t="s">
        <v>141</v>
      </c>
      <c r="T56" s="395"/>
      <c r="U56" s="366">
        <v>0</v>
      </c>
      <c r="V56" s="483"/>
      <c r="W56" s="484"/>
      <c r="X56" s="476" t="s">
        <v>98</v>
      </c>
      <c r="Y56" s="682"/>
      <c r="Z56" s="523"/>
      <c r="AA56" s="524"/>
      <c r="AB56" s="476" t="s">
        <v>98</v>
      </c>
      <c r="AC56" s="477"/>
      <c r="AD56" s="35"/>
      <c r="AE56" s="643" t="str">
        <f>IF(AY56="","",AY56)</f>
        <v>-</v>
      </c>
      <c r="AF56" s="481"/>
      <c r="AG56" s="634">
        <v>0</v>
      </c>
      <c r="AH56" s="407"/>
      <c r="AI56" s="462" t="s">
        <v>142</v>
      </c>
      <c r="AJ56" s="481"/>
      <c r="AK56" s="636" t="str">
        <f>IF(BA56="","",BA56)</f>
        <v>-</v>
      </c>
      <c r="AL56" s="481"/>
      <c r="AM56" s="634">
        <v>0</v>
      </c>
      <c r="AN56" s="407"/>
      <c r="AO56" s="462" t="s">
        <v>142</v>
      </c>
      <c r="AP56" s="587"/>
      <c r="AQ56" s="23"/>
      <c r="AR56" s="23"/>
      <c r="AS56" s="23"/>
      <c r="AT56" s="23"/>
      <c r="AU56" s="23"/>
      <c r="AV56" s="639">
        <v>0</v>
      </c>
      <c r="AW56" s="640"/>
      <c r="AX56" s="641"/>
      <c r="AY56" s="637" t="s">
        <v>22</v>
      </c>
      <c r="AZ56" s="637"/>
      <c r="BA56" s="637" t="s">
        <v>22</v>
      </c>
      <c r="BB56" s="638"/>
    </row>
    <row r="57" spans="1:54" ht="12.6" customHeight="1" x14ac:dyDescent="0.2">
      <c r="A57" s="577">
        <v>2</v>
      </c>
      <c r="B57" s="578"/>
      <c r="C57" s="369">
        <v>0</v>
      </c>
      <c r="D57" s="369" t="s">
        <v>141</v>
      </c>
      <c r="E57" s="369">
        <v>0</v>
      </c>
      <c r="F57" s="380">
        <f>C57+(IF(ISBLANK(Z57),"0",SUM(Z57:AC57)))</f>
        <v>0</v>
      </c>
      <c r="G57" s="366" t="s">
        <v>141</v>
      </c>
      <c r="H57" s="375">
        <f>E57+(IF(ISBLANK(V57),"0",SUM(V57:Y57)))</f>
        <v>0</v>
      </c>
      <c r="I57" s="90">
        <v>0</v>
      </c>
      <c r="J57" s="366" t="s">
        <v>141</v>
      </c>
      <c r="K57" s="91">
        <v>0</v>
      </c>
      <c r="L57" s="400">
        <v>0</v>
      </c>
      <c r="M57" s="400"/>
      <c r="N57" s="400" t="s">
        <v>141</v>
      </c>
      <c r="O57" s="469"/>
      <c r="P57" s="400">
        <v>0</v>
      </c>
      <c r="Q57" s="434"/>
      <c r="R57" s="366">
        <v>0</v>
      </c>
      <c r="S57" s="443" t="s">
        <v>141</v>
      </c>
      <c r="T57" s="444"/>
      <c r="U57" s="366">
        <v>0</v>
      </c>
      <c r="V57" s="504" t="s">
        <v>98</v>
      </c>
      <c r="W57" s="505"/>
      <c r="X57" s="516" t="s">
        <v>98</v>
      </c>
      <c r="Y57" s="683"/>
      <c r="Z57" s="516" t="s">
        <v>98</v>
      </c>
      <c r="AA57" s="505"/>
      <c r="AB57" s="516" t="s">
        <v>98</v>
      </c>
      <c r="AC57" s="525"/>
      <c r="AD57" s="35"/>
      <c r="AE57" s="642" t="s">
        <v>98</v>
      </c>
      <c r="AF57" s="526"/>
      <c r="AG57" s="634" t="s">
        <v>98</v>
      </c>
      <c r="AH57" s="407"/>
      <c r="AI57" s="588" t="s">
        <v>98</v>
      </c>
      <c r="AJ57" s="526"/>
      <c r="AK57" s="663" t="s">
        <v>98</v>
      </c>
      <c r="AL57" s="526"/>
      <c r="AM57" s="634" t="s">
        <v>98</v>
      </c>
      <c r="AN57" s="407"/>
      <c r="AO57" s="588" t="s">
        <v>98</v>
      </c>
      <c r="AP57" s="662"/>
      <c r="AQ57" s="23"/>
      <c r="AR57" s="23"/>
      <c r="AS57" s="23"/>
      <c r="AT57" s="23"/>
      <c r="AU57" s="23"/>
      <c r="AV57" s="635"/>
      <c r="AW57" s="472"/>
      <c r="AX57" s="473"/>
      <c r="AY57" s="632"/>
      <c r="AZ57" s="632"/>
      <c r="BA57" s="632"/>
      <c r="BB57" s="633"/>
    </row>
    <row r="58" spans="1:54" ht="12.6" customHeight="1" x14ac:dyDescent="0.2">
      <c r="A58" s="577">
        <v>3</v>
      </c>
      <c r="B58" s="578"/>
      <c r="C58" s="369">
        <v>0</v>
      </c>
      <c r="D58" s="369" t="s">
        <v>141</v>
      </c>
      <c r="E58" s="369">
        <v>0</v>
      </c>
      <c r="F58" s="380">
        <f>C58+(IF(ISBLANK(Z58),"0",SUM(Z58:AC58)))</f>
        <v>0</v>
      </c>
      <c r="G58" s="366" t="s">
        <v>141</v>
      </c>
      <c r="H58" s="375">
        <f>E58+(IF(ISBLANK(V58),"0",SUM(V58:Y58)))</f>
        <v>0</v>
      </c>
      <c r="I58" s="90">
        <v>0</v>
      </c>
      <c r="J58" s="366" t="s">
        <v>141</v>
      </c>
      <c r="K58" s="91">
        <v>0</v>
      </c>
      <c r="L58" s="400">
        <v>0</v>
      </c>
      <c r="M58" s="400"/>
      <c r="N58" s="400" t="s">
        <v>141</v>
      </c>
      <c r="O58" s="469"/>
      <c r="P58" s="400">
        <v>0</v>
      </c>
      <c r="Q58" s="434"/>
      <c r="R58" s="366">
        <v>0</v>
      </c>
      <c r="S58" s="582" t="s">
        <v>141</v>
      </c>
      <c r="T58" s="583"/>
      <c r="U58" s="366">
        <v>0</v>
      </c>
      <c r="V58" s="504" t="s">
        <v>98</v>
      </c>
      <c r="W58" s="505"/>
      <c r="X58" s="516" t="s">
        <v>98</v>
      </c>
      <c r="Y58" s="683"/>
      <c r="Z58" s="516" t="s">
        <v>98</v>
      </c>
      <c r="AA58" s="505"/>
      <c r="AB58" s="516" t="s">
        <v>98</v>
      </c>
      <c r="AC58" s="525"/>
      <c r="AD58" s="35"/>
      <c r="AE58" s="418" t="s">
        <v>143</v>
      </c>
      <c r="AF58" s="665"/>
      <c r="AG58" s="666"/>
      <c r="AH58" s="594"/>
      <c r="AI58" s="595"/>
      <c r="AJ58" s="596"/>
      <c r="AK58" s="664" t="s">
        <v>144</v>
      </c>
      <c r="AL58" s="665"/>
      <c r="AM58" s="666"/>
      <c r="AN58" s="674"/>
      <c r="AO58" s="675"/>
      <c r="AP58" s="676"/>
      <c r="AQ58" s="23"/>
      <c r="AR58" s="23"/>
      <c r="AS58" s="23"/>
      <c r="AT58" s="23"/>
      <c r="AU58" s="23"/>
      <c r="AV58" s="635"/>
      <c r="AW58" s="472"/>
      <c r="AX58" s="473"/>
      <c r="AY58" s="632"/>
      <c r="AZ58" s="632"/>
      <c r="BA58" s="632"/>
      <c r="BB58" s="633"/>
    </row>
    <row r="59" spans="1:54" ht="12.6" customHeight="1" x14ac:dyDescent="0.2">
      <c r="A59" s="577" t="s">
        <v>145</v>
      </c>
      <c r="B59" s="578"/>
      <c r="C59" s="369" t="s">
        <v>98</v>
      </c>
      <c r="D59" s="369" t="s">
        <v>141</v>
      </c>
      <c r="E59" s="369" t="s">
        <v>98</v>
      </c>
      <c r="F59" s="90" t="s">
        <v>98</v>
      </c>
      <c r="G59" s="366" t="s">
        <v>141</v>
      </c>
      <c r="H59" s="369" t="s">
        <v>98</v>
      </c>
      <c r="I59" s="90" t="s">
        <v>98</v>
      </c>
      <c r="J59" s="366" t="s">
        <v>141</v>
      </c>
      <c r="K59" s="91" t="s">
        <v>98</v>
      </c>
      <c r="L59" s="443" t="s">
        <v>98</v>
      </c>
      <c r="M59" s="443"/>
      <c r="N59" s="443" t="s">
        <v>141</v>
      </c>
      <c r="O59" s="579"/>
      <c r="P59" s="443" t="s">
        <v>98</v>
      </c>
      <c r="Q59" s="495"/>
      <c r="R59" s="366" t="s">
        <v>98</v>
      </c>
      <c r="S59" s="443" t="s">
        <v>146</v>
      </c>
      <c r="T59" s="444"/>
      <c r="U59" s="366" t="s">
        <v>98</v>
      </c>
      <c r="V59" s="511" t="s">
        <v>98</v>
      </c>
      <c r="W59" s="512"/>
      <c r="X59" s="513" t="s">
        <v>98</v>
      </c>
      <c r="Y59" s="514"/>
      <c r="Z59" s="513" t="s">
        <v>98</v>
      </c>
      <c r="AA59" s="512"/>
      <c r="AB59" s="513" t="s">
        <v>98</v>
      </c>
      <c r="AC59" s="515"/>
      <c r="AD59" s="35"/>
      <c r="AE59" s="408" t="s">
        <v>147</v>
      </c>
      <c r="AF59" s="573"/>
      <c r="AG59" s="574"/>
      <c r="AH59" s="594" t="s">
        <v>98</v>
      </c>
      <c r="AI59" s="595"/>
      <c r="AJ59" s="596"/>
      <c r="AK59" s="687" t="s">
        <v>148</v>
      </c>
      <c r="AL59" s="573"/>
      <c r="AM59" s="574"/>
      <c r="AN59" s="594" t="s">
        <v>98</v>
      </c>
      <c r="AO59" s="595"/>
      <c r="AP59" s="596"/>
      <c r="AQ59" s="23"/>
      <c r="AR59" s="23"/>
      <c r="AS59" s="23"/>
      <c r="AT59" s="23"/>
      <c r="AU59" s="23"/>
      <c r="AV59" s="534"/>
      <c r="AW59" s="535"/>
      <c r="AX59" s="536"/>
      <c r="AY59" s="529"/>
      <c r="AZ59" s="529"/>
      <c r="BA59" s="529"/>
      <c r="BB59" s="530"/>
    </row>
    <row r="60" spans="1:54" ht="12.6" customHeight="1" x14ac:dyDescent="0.2">
      <c r="A60" s="411" t="s">
        <v>149</v>
      </c>
      <c r="B60" s="412"/>
      <c r="C60" s="376" t="s">
        <v>98</v>
      </c>
      <c r="D60" s="376" t="s">
        <v>141</v>
      </c>
      <c r="E60" s="376" t="s">
        <v>98</v>
      </c>
      <c r="F60" s="90" t="s">
        <v>98</v>
      </c>
      <c r="G60" s="366" t="s">
        <v>141</v>
      </c>
      <c r="H60" s="366" t="s">
        <v>98</v>
      </c>
      <c r="I60" s="90" t="s">
        <v>98</v>
      </c>
      <c r="J60" s="366" t="s">
        <v>141</v>
      </c>
      <c r="K60" s="91" t="s">
        <v>98</v>
      </c>
      <c r="L60" s="400" t="s">
        <v>98</v>
      </c>
      <c r="M60" s="400"/>
      <c r="N60" s="400" t="s">
        <v>141</v>
      </c>
      <c r="O60" s="469"/>
      <c r="P60" s="400" t="s">
        <v>98</v>
      </c>
      <c r="Q60" s="434"/>
      <c r="R60" s="366" t="s">
        <v>98</v>
      </c>
      <c r="S60" s="400" t="s">
        <v>146</v>
      </c>
      <c r="T60" s="398"/>
      <c r="U60" s="366" t="s">
        <v>98</v>
      </c>
      <c r="V60" s="510" t="s">
        <v>98</v>
      </c>
      <c r="W60" s="507"/>
      <c r="X60" s="506" t="s">
        <v>98</v>
      </c>
      <c r="Y60" s="546"/>
      <c r="Z60" s="506" t="s">
        <v>98</v>
      </c>
      <c r="AA60" s="507"/>
      <c r="AB60" s="506" t="s">
        <v>98</v>
      </c>
      <c r="AC60" s="508"/>
      <c r="AD60" s="35"/>
      <c r="AE60" s="418" t="s">
        <v>150</v>
      </c>
      <c r="AF60" s="419"/>
      <c r="AG60" s="419"/>
      <c r="AH60" s="419"/>
      <c r="AI60" s="420"/>
      <c r="AJ60" s="677"/>
      <c r="AK60" s="678"/>
      <c r="AL60" s="678"/>
      <c r="AM60" s="678"/>
      <c r="AN60" s="678"/>
      <c r="AO60" s="678"/>
      <c r="AP60" s="679"/>
      <c r="AQ60" s="23"/>
      <c r="AR60" s="23"/>
      <c r="AS60" s="23"/>
      <c r="AT60" s="23"/>
      <c r="AU60" s="23"/>
      <c r="AV60" s="534"/>
      <c r="AW60" s="535"/>
      <c r="AX60" s="536"/>
      <c r="AY60" s="529"/>
      <c r="AZ60" s="529"/>
      <c r="BA60" s="529"/>
      <c r="BB60" s="530"/>
    </row>
    <row r="61" spans="1:54" ht="12.6" customHeight="1" x14ac:dyDescent="0.2">
      <c r="A61" s="564" t="s">
        <v>151</v>
      </c>
      <c r="B61" s="565"/>
      <c r="C61" s="367">
        <f>IF(ISBLANK(C56),"0",SUM(C56:C60))</f>
        <v>0</v>
      </c>
      <c r="D61" s="367" t="s">
        <v>146</v>
      </c>
      <c r="E61" s="367">
        <f>IF(ISBLANK(E56),"0",SUM(E56:E60))</f>
        <v>0</v>
      </c>
      <c r="F61" s="370">
        <f>SUM(F56:F60)</f>
        <v>0</v>
      </c>
      <c r="G61" s="367" t="s">
        <v>141</v>
      </c>
      <c r="H61" s="367">
        <f>SUM(H56:H60)</f>
        <v>0</v>
      </c>
      <c r="I61" s="370">
        <f>SUM(I56:I60)</f>
        <v>0</v>
      </c>
      <c r="J61" s="367" t="s">
        <v>141</v>
      </c>
      <c r="K61" s="374">
        <f>SUM(K56:K60)</f>
        <v>0</v>
      </c>
      <c r="L61" s="404">
        <f>SUM(L56:M60)</f>
        <v>0</v>
      </c>
      <c r="M61" s="404"/>
      <c r="N61" s="424" t="s">
        <v>141</v>
      </c>
      <c r="O61" s="425"/>
      <c r="P61" s="404">
        <f>SUM(P56:Q60)</f>
        <v>0</v>
      </c>
      <c r="Q61" s="405"/>
      <c r="R61" s="367">
        <f>SUM(R56:R60)</f>
        <v>0</v>
      </c>
      <c r="S61" s="480" t="s">
        <v>146</v>
      </c>
      <c r="T61" s="533"/>
      <c r="U61" s="367">
        <f>SUM(U56:U60)</f>
        <v>0</v>
      </c>
      <c r="V61" s="557">
        <v>0</v>
      </c>
      <c r="W61" s="509"/>
      <c r="X61" s="470" t="s">
        <v>98</v>
      </c>
      <c r="Y61" s="404"/>
      <c r="Z61" s="470">
        <v>0</v>
      </c>
      <c r="AA61" s="509"/>
      <c r="AB61" s="470" t="s">
        <v>98</v>
      </c>
      <c r="AC61" s="471"/>
      <c r="AD61" s="36"/>
      <c r="AE61" s="408" t="s">
        <v>152</v>
      </c>
      <c r="AF61" s="409"/>
      <c r="AG61" s="409"/>
      <c r="AH61" s="409"/>
      <c r="AI61" s="410"/>
      <c r="AJ61" s="659" t="s">
        <v>98</v>
      </c>
      <c r="AK61" s="660"/>
      <c r="AL61" s="660"/>
      <c r="AM61" s="660"/>
      <c r="AN61" s="660"/>
      <c r="AO61" s="660"/>
      <c r="AP61" s="661"/>
      <c r="AQ61" s="23"/>
      <c r="AR61" s="23"/>
      <c r="AS61" s="23"/>
      <c r="AT61" s="23"/>
      <c r="AU61" s="23"/>
      <c r="AV61" s="534"/>
      <c r="AW61" s="535"/>
      <c r="AX61" s="536"/>
      <c r="AY61" s="558"/>
      <c r="AZ61" s="558"/>
      <c r="BA61" s="558"/>
      <c r="BB61" s="559"/>
    </row>
    <row r="62" spans="1:54" ht="12.6" customHeight="1" x14ac:dyDescent="0.2">
      <c r="A62" s="563" t="s">
        <v>153</v>
      </c>
      <c r="B62" s="563"/>
      <c r="C62" s="486"/>
      <c r="D62" s="486"/>
      <c r="E62" s="486"/>
      <c r="F62" s="486"/>
      <c r="G62" s="486"/>
      <c r="H62" s="486"/>
      <c r="I62" s="486"/>
      <c r="J62" s="486"/>
      <c r="K62" s="486"/>
      <c r="L62" s="486"/>
      <c r="M62" s="486"/>
      <c r="N62" s="486"/>
      <c r="O62" s="486"/>
      <c r="P62" s="486"/>
      <c r="Q62" s="486"/>
      <c r="R62" s="486"/>
      <c r="S62" s="486"/>
      <c r="T62" s="486"/>
      <c r="U62" s="486"/>
      <c r="V62" s="537"/>
      <c r="W62" s="537"/>
      <c r="X62" s="537"/>
      <c r="Y62" s="537"/>
      <c r="Z62" s="537"/>
      <c r="AA62" s="537"/>
      <c r="AB62" s="537"/>
      <c r="AC62" s="537"/>
      <c r="AD62" s="37"/>
      <c r="AE62" s="37"/>
      <c r="AF62" s="37"/>
      <c r="AG62" s="37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534"/>
      <c r="AW62" s="535"/>
      <c r="AX62" s="536"/>
      <c r="AY62" s="529"/>
      <c r="AZ62" s="529"/>
      <c r="BA62" s="529"/>
      <c r="BB62" s="530"/>
    </row>
    <row r="63" spans="1:54" ht="12.6" customHeight="1" x14ac:dyDescent="0.2">
      <c r="A63" s="464" t="s">
        <v>154</v>
      </c>
      <c r="B63" s="465"/>
      <c r="C63" s="465"/>
      <c r="D63" s="465"/>
      <c r="E63" s="465"/>
      <c r="F63" s="465"/>
      <c r="G63" s="426" t="str">
        <f>TeamA!D26</f>
        <v xml:space="preserve">      田中　伸史</v>
      </c>
      <c r="H63" s="427"/>
      <c r="I63" s="427"/>
      <c r="J63" s="427"/>
      <c r="K63" s="427"/>
      <c r="L63" s="427"/>
      <c r="M63" s="427"/>
      <c r="N63" s="427"/>
      <c r="O63" s="427"/>
      <c r="P63" s="427"/>
      <c r="Q63" s="427"/>
      <c r="R63" s="427"/>
      <c r="S63" s="464" t="s">
        <v>155</v>
      </c>
      <c r="T63" s="531"/>
      <c r="U63" s="531"/>
      <c r="V63" s="531"/>
      <c r="W63" s="531"/>
      <c r="X63" s="531"/>
      <c r="Y63" s="681"/>
      <c r="Z63" s="681"/>
      <c r="AA63" s="681"/>
      <c r="AB63" s="681"/>
      <c r="AC63" s="681"/>
      <c r="AD63" s="681"/>
      <c r="AE63" s="681"/>
      <c r="AF63" s="671" t="s">
        <v>156</v>
      </c>
      <c r="AG63" s="672"/>
      <c r="AH63" s="672"/>
      <c r="AI63" s="673"/>
      <c r="AJ63" s="667"/>
      <c r="AK63" s="668"/>
      <c r="AL63" s="668"/>
      <c r="AM63" s="668"/>
      <c r="AN63" s="668"/>
      <c r="AO63" s="669"/>
      <c r="AP63" s="667"/>
      <c r="AQ63" s="668"/>
      <c r="AR63" s="668"/>
      <c r="AS63" s="668"/>
      <c r="AT63" s="668"/>
      <c r="AU63" s="670"/>
      <c r="AV63" s="534"/>
      <c r="AW63" s="535"/>
      <c r="AX63" s="536"/>
      <c r="AY63" s="529"/>
      <c r="AZ63" s="529"/>
      <c r="BA63" s="529"/>
      <c r="BB63" s="530"/>
    </row>
    <row r="64" spans="1:54" ht="12.6" customHeight="1" x14ac:dyDescent="0.2">
      <c r="A64" s="401" t="s">
        <v>157</v>
      </c>
      <c r="B64" s="402"/>
      <c r="C64" s="402"/>
      <c r="D64" s="402"/>
      <c r="E64" s="402"/>
      <c r="F64" s="403"/>
      <c r="G64" s="428" t="str">
        <f>TeamB!D26</f>
        <v xml:space="preserve">      木下　和則</v>
      </c>
      <c r="H64" s="429"/>
      <c r="I64" s="429"/>
      <c r="J64" s="429"/>
      <c r="K64" s="429"/>
      <c r="L64" s="429"/>
      <c r="M64" s="429"/>
      <c r="N64" s="429"/>
      <c r="O64" s="429"/>
      <c r="P64" s="429"/>
      <c r="Q64" s="429"/>
      <c r="R64" s="430"/>
      <c r="S64" s="401" t="s">
        <v>155</v>
      </c>
      <c r="T64" s="532"/>
      <c r="U64" s="532"/>
      <c r="V64" s="532"/>
      <c r="W64" s="532"/>
      <c r="X64" s="532"/>
      <c r="Y64" s="566"/>
      <c r="Z64" s="566"/>
      <c r="AA64" s="566"/>
      <c r="AB64" s="566"/>
      <c r="AC64" s="566"/>
      <c r="AD64" s="566"/>
      <c r="AE64" s="566"/>
      <c r="AF64" s="431" t="s">
        <v>158</v>
      </c>
      <c r="AG64" s="432"/>
      <c r="AH64" s="432"/>
      <c r="AI64" s="433"/>
      <c r="AJ64" s="542"/>
      <c r="AK64" s="543"/>
      <c r="AL64" s="543"/>
      <c r="AM64" s="543"/>
      <c r="AN64" s="543"/>
      <c r="AO64" s="545"/>
      <c r="AP64" s="542"/>
      <c r="AQ64" s="543"/>
      <c r="AR64" s="543"/>
      <c r="AS64" s="543"/>
      <c r="AT64" s="543"/>
      <c r="AU64" s="544"/>
      <c r="AV64" s="534"/>
      <c r="AW64" s="535"/>
      <c r="AX64" s="536"/>
      <c r="AY64" s="529"/>
      <c r="AZ64" s="529"/>
      <c r="BA64" s="529"/>
      <c r="BB64" s="530"/>
    </row>
    <row r="65" spans="1:54" ht="12.6" customHeight="1" x14ac:dyDescent="0.2">
      <c r="A65" s="447" t="s">
        <v>159</v>
      </c>
      <c r="B65" s="448"/>
      <c r="C65" s="448"/>
      <c r="D65" s="448"/>
      <c r="E65" s="448"/>
      <c r="F65" s="449"/>
      <c r="G65" s="466"/>
      <c r="H65" s="467"/>
      <c r="I65" s="467"/>
      <c r="J65" s="467"/>
      <c r="K65" s="467"/>
      <c r="L65" s="467"/>
      <c r="M65" s="467"/>
      <c r="N65" s="467"/>
      <c r="O65" s="467"/>
      <c r="P65" s="467"/>
      <c r="Q65" s="467"/>
      <c r="R65" s="468"/>
      <c r="S65" s="401" t="s">
        <v>160</v>
      </c>
      <c r="T65" s="532"/>
      <c r="U65" s="532"/>
      <c r="V65" s="532"/>
      <c r="W65" s="532"/>
      <c r="X65" s="532"/>
      <c r="Y65" s="566"/>
      <c r="Z65" s="566"/>
      <c r="AA65" s="566"/>
      <c r="AB65" s="566"/>
      <c r="AC65" s="566"/>
      <c r="AD65" s="566"/>
      <c r="AE65" s="566"/>
      <c r="AF65" s="560" t="s">
        <v>161</v>
      </c>
      <c r="AG65" s="560"/>
      <c r="AH65" s="560"/>
      <c r="AI65" s="560"/>
      <c r="AJ65" s="554"/>
      <c r="AK65" s="554"/>
      <c r="AL65" s="554"/>
      <c r="AM65" s="554"/>
      <c r="AN65" s="554"/>
      <c r="AO65" s="554"/>
      <c r="AP65" s="554"/>
      <c r="AQ65" s="554"/>
      <c r="AR65" s="554"/>
      <c r="AS65" s="554"/>
      <c r="AT65" s="554"/>
      <c r="AU65" s="554"/>
      <c r="AV65" s="534"/>
      <c r="AW65" s="535"/>
      <c r="AX65" s="536"/>
      <c r="AY65" s="529"/>
      <c r="AZ65" s="529"/>
      <c r="BA65" s="529"/>
      <c r="BB65" s="530"/>
    </row>
    <row r="66" spans="1:54" ht="12.6" customHeight="1" x14ac:dyDescent="0.2">
      <c r="A66" s="447" t="s">
        <v>162</v>
      </c>
      <c r="B66" s="448"/>
      <c r="C66" s="448"/>
      <c r="D66" s="448"/>
      <c r="E66" s="448"/>
      <c r="F66" s="449"/>
      <c r="G66" s="466"/>
      <c r="H66" s="467"/>
      <c r="I66" s="467"/>
      <c r="J66" s="467"/>
      <c r="K66" s="467"/>
      <c r="L66" s="467"/>
      <c r="M66" s="467"/>
      <c r="N66" s="467"/>
      <c r="O66" s="467"/>
      <c r="P66" s="467"/>
      <c r="Q66" s="467"/>
      <c r="R66" s="468"/>
      <c r="S66" s="401" t="s">
        <v>160</v>
      </c>
      <c r="T66" s="532"/>
      <c r="U66" s="532"/>
      <c r="V66" s="532"/>
      <c r="W66" s="532"/>
      <c r="X66" s="532"/>
      <c r="Y66" s="566"/>
      <c r="Z66" s="566"/>
      <c r="AA66" s="566"/>
      <c r="AB66" s="566"/>
      <c r="AC66" s="566"/>
      <c r="AD66" s="566"/>
      <c r="AE66" s="566"/>
      <c r="AF66" s="561"/>
      <c r="AG66" s="561"/>
      <c r="AH66" s="561"/>
      <c r="AI66" s="561"/>
      <c r="AJ66" s="555"/>
      <c r="AK66" s="555"/>
      <c r="AL66" s="555"/>
      <c r="AM66" s="555"/>
      <c r="AN66" s="555"/>
      <c r="AO66" s="555"/>
      <c r="AP66" s="555"/>
      <c r="AQ66" s="555"/>
      <c r="AR66" s="555"/>
      <c r="AS66" s="555"/>
      <c r="AT66" s="555"/>
      <c r="AU66" s="555"/>
      <c r="AV66" s="534"/>
      <c r="AW66" s="535"/>
      <c r="AX66" s="536"/>
      <c r="AY66" s="529"/>
      <c r="AZ66" s="529"/>
      <c r="BA66" s="529"/>
      <c r="BB66" s="530"/>
    </row>
    <row r="67" spans="1:54" ht="12.6" customHeight="1" x14ac:dyDescent="0.2">
      <c r="A67" s="421" t="s">
        <v>163</v>
      </c>
      <c r="B67" s="422"/>
      <c r="C67" s="422"/>
      <c r="D67" s="422"/>
      <c r="E67" s="422"/>
      <c r="F67" s="423"/>
      <c r="G67" s="435"/>
      <c r="H67" s="436"/>
      <c r="I67" s="436"/>
      <c r="J67" s="436"/>
      <c r="K67" s="436"/>
      <c r="L67" s="436"/>
      <c r="M67" s="436"/>
      <c r="N67" s="436"/>
      <c r="O67" s="436"/>
      <c r="P67" s="436"/>
      <c r="Q67" s="436"/>
      <c r="R67" s="437"/>
      <c r="S67" s="547" t="s">
        <v>164</v>
      </c>
      <c r="T67" s="548"/>
      <c r="U67" s="548"/>
      <c r="V67" s="548"/>
      <c r="W67" s="548"/>
      <c r="X67" s="548"/>
      <c r="Y67" s="716"/>
      <c r="Z67" s="716"/>
      <c r="AA67" s="716"/>
      <c r="AB67" s="716"/>
      <c r="AC67" s="716"/>
      <c r="AD67" s="716"/>
      <c r="AE67" s="716"/>
      <c r="AF67" s="562"/>
      <c r="AG67" s="562"/>
      <c r="AH67" s="562"/>
      <c r="AI67" s="562"/>
      <c r="AJ67" s="556"/>
      <c r="AK67" s="556"/>
      <c r="AL67" s="556"/>
      <c r="AM67" s="556"/>
      <c r="AN67" s="556"/>
      <c r="AO67" s="556"/>
      <c r="AP67" s="556"/>
      <c r="AQ67" s="556"/>
      <c r="AR67" s="556"/>
      <c r="AS67" s="556"/>
      <c r="AT67" s="556"/>
      <c r="AU67" s="556"/>
      <c r="AV67" s="539"/>
      <c r="AW67" s="540"/>
      <c r="AX67" s="541"/>
      <c r="AY67" s="552"/>
      <c r="AZ67" s="552"/>
      <c r="BA67" s="552"/>
      <c r="BB67" s="553"/>
    </row>
    <row r="68" spans="1:54" ht="4.5" customHeight="1" x14ac:dyDescent="0.2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</row>
    <row r="69" spans="1:54" ht="12" customHeight="1" x14ac:dyDescent="0.2">
      <c r="A69" s="439" t="s">
        <v>165</v>
      </c>
      <c r="B69" s="440"/>
      <c r="C69" s="440"/>
      <c r="D69" s="440"/>
      <c r="E69" s="440"/>
      <c r="F69" s="76"/>
      <c r="G69" s="549"/>
      <c r="H69" s="550"/>
      <c r="I69" s="550"/>
      <c r="J69" s="550"/>
      <c r="K69" s="550"/>
      <c r="L69" s="550"/>
      <c r="M69" s="550"/>
      <c r="N69" s="550"/>
      <c r="O69" s="550"/>
      <c r="P69" s="550"/>
      <c r="Q69" s="550"/>
      <c r="R69" s="550"/>
      <c r="S69" s="550"/>
      <c r="T69" s="550"/>
      <c r="U69" s="550"/>
      <c r="V69" s="550"/>
      <c r="W69" s="550"/>
      <c r="X69" s="550"/>
      <c r="Y69" s="550"/>
      <c r="Z69" s="550"/>
      <c r="AA69" s="550"/>
      <c r="AB69" s="550"/>
      <c r="AC69" s="550"/>
      <c r="AD69" s="550"/>
      <c r="AE69" s="550"/>
      <c r="AF69" s="550"/>
      <c r="AG69" s="550"/>
      <c r="AH69" s="550"/>
      <c r="AI69" s="550"/>
      <c r="AJ69" s="550"/>
      <c r="AK69" s="550"/>
      <c r="AL69" s="550"/>
      <c r="AM69" s="550"/>
      <c r="AN69" s="550"/>
      <c r="AO69" s="550"/>
      <c r="AP69" s="550"/>
      <c r="AQ69" s="550"/>
      <c r="AR69" s="550"/>
      <c r="AS69" s="550"/>
      <c r="AT69" s="550"/>
      <c r="AU69" s="550"/>
      <c r="AV69" s="550"/>
      <c r="AW69" s="550"/>
      <c r="AX69" s="550"/>
      <c r="AY69" s="550"/>
      <c r="AZ69" s="550"/>
      <c r="BA69" s="550"/>
      <c r="BB69" s="551"/>
    </row>
    <row r="71" spans="1:54" ht="13.2" x14ac:dyDescent="0.2">
      <c r="B71" s="709"/>
      <c r="C71" s="709"/>
      <c r="D71" s="709"/>
      <c r="E71" s="709"/>
      <c r="F71" s="709"/>
      <c r="G71" s="709"/>
      <c r="H71" s="709"/>
      <c r="I71" s="709"/>
      <c r="J71" s="709"/>
      <c r="K71" s="709"/>
      <c r="L71" s="709"/>
      <c r="M71" s="709"/>
      <c r="N71" s="709"/>
      <c r="O71" s="709"/>
      <c r="P71" s="709"/>
      <c r="Q71" s="709"/>
      <c r="R71" s="709"/>
      <c r="S71" s="709"/>
      <c r="T71" s="709"/>
      <c r="U71" s="709"/>
      <c r="V71" s="709"/>
      <c r="W71" s="709"/>
      <c r="X71" s="709"/>
      <c r="Y71" s="709"/>
      <c r="Z71" s="709"/>
      <c r="AA71" s="709"/>
      <c r="AB71" s="93"/>
      <c r="AC71" s="93"/>
      <c r="AD71" s="709"/>
      <c r="AE71" s="709"/>
      <c r="AF71" s="709"/>
      <c r="AG71" s="709"/>
      <c r="AH71" s="709"/>
      <c r="AI71" s="709"/>
      <c r="AJ71" s="709"/>
      <c r="AK71" s="709"/>
      <c r="AL71" s="709"/>
      <c r="AM71" s="709"/>
      <c r="AN71" s="709"/>
      <c r="AO71" s="709"/>
      <c r="AP71" s="709"/>
      <c r="AQ71" s="709"/>
      <c r="AR71" s="709"/>
      <c r="AS71" s="709"/>
      <c r="AT71" s="709"/>
      <c r="AU71" s="709"/>
      <c r="AV71" s="709"/>
      <c r="AW71" s="709"/>
      <c r="AX71" s="709"/>
      <c r="AY71" s="709"/>
      <c r="AZ71" s="709"/>
      <c r="BA71" s="709"/>
    </row>
    <row r="72" spans="1:54" ht="13.2" x14ac:dyDescent="0.2">
      <c r="B72" s="709"/>
      <c r="C72" s="709"/>
      <c r="D72" s="709"/>
      <c r="E72" s="709"/>
      <c r="F72" s="709"/>
      <c r="G72" s="709"/>
      <c r="H72" s="709"/>
      <c r="I72" s="709"/>
      <c r="J72" s="709"/>
      <c r="K72" s="709"/>
      <c r="L72" s="709"/>
      <c r="M72" s="709"/>
      <c r="N72" s="709"/>
      <c r="O72" s="709"/>
      <c r="P72" s="709"/>
      <c r="Q72" s="709"/>
      <c r="R72" s="709"/>
      <c r="S72" s="709"/>
      <c r="T72" s="709"/>
      <c r="U72" s="709"/>
      <c r="V72" s="709"/>
      <c r="W72" s="709"/>
      <c r="X72" s="709"/>
      <c r="Y72" s="709"/>
      <c r="Z72" s="709"/>
      <c r="AA72" s="709"/>
      <c r="AB72" s="709"/>
      <c r="AC72" s="709"/>
      <c r="AD72" s="709"/>
      <c r="AE72" s="709"/>
      <c r="AF72" s="93"/>
      <c r="AG72" s="95"/>
      <c r="AH72" s="95"/>
      <c r="AL72" s="95"/>
      <c r="AM72" s="95"/>
      <c r="AN72" s="95"/>
      <c r="AO72" s="95"/>
      <c r="AP72" s="95"/>
      <c r="AQ72" s="95"/>
      <c r="AR72" s="95"/>
      <c r="AS72" s="95"/>
      <c r="AT72" s="377"/>
      <c r="AU72" s="377"/>
      <c r="AV72" s="377"/>
      <c r="AW72" s="377"/>
    </row>
    <row r="74" spans="1:54" ht="10.5" customHeight="1" x14ac:dyDescent="0.2">
      <c r="V74" s="452" t="s">
        <v>102</v>
      </c>
      <c r="W74" s="453"/>
      <c r="X74" s="453"/>
      <c r="Y74" s="453"/>
      <c r="Z74" s="453"/>
      <c r="AA74" s="453"/>
      <c r="AB74" s="453"/>
      <c r="AC74" s="453"/>
      <c r="AD74" s="456" t="s">
        <v>103</v>
      </c>
      <c r="AE74" s="457"/>
      <c r="AF74" s="457"/>
      <c r="AG74" s="457"/>
      <c r="AH74" s="457"/>
      <c r="AI74" s="458"/>
    </row>
    <row r="75" spans="1:54" ht="10.5" customHeight="1" x14ac:dyDescent="0.2">
      <c r="V75" s="454"/>
      <c r="W75" s="455"/>
      <c r="X75" s="455"/>
      <c r="Y75" s="455"/>
      <c r="Z75" s="455"/>
      <c r="AA75" s="455"/>
      <c r="AB75" s="455"/>
      <c r="AC75" s="455"/>
      <c r="AD75" s="459"/>
      <c r="AE75" s="460"/>
      <c r="AF75" s="460"/>
      <c r="AG75" s="460"/>
      <c r="AH75" s="460"/>
      <c r="AI75" s="461"/>
    </row>
    <row r="76" spans="1:54" x14ac:dyDescent="0.2">
      <c r="V76" s="382" t="s">
        <v>108</v>
      </c>
      <c r="W76" s="503" t="s">
        <v>109</v>
      </c>
      <c r="X76" s="503"/>
      <c r="Y76" s="503"/>
      <c r="Z76" s="373" t="s">
        <v>110</v>
      </c>
      <c r="AA76" s="373" t="s">
        <v>111</v>
      </c>
      <c r="AB76" s="373" t="s">
        <v>112</v>
      </c>
      <c r="AC76" s="368" t="s">
        <v>113</v>
      </c>
      <c r="AD76" s="382" t="s">
        <v>166</v>
      </c>
      <c r="AE76" s="373" t="s">
        <v>115</v>
      </c>
      <c r="AF76" s="38" t="s">
        <v>116</v>
      </c>
      <c r="AG76" s="38" t="s">
        <v>117</v>
      </c>
      <c r="AH76" s="445" t="s">
        <v>118</v>
      </c>
      <c r="AI76" s="446"/>
    </row>
    <row r="77" spans="1:54" ht="12" customHeight="1" x14ac:dyDescent="0.2">
      <c r="V77" s="11"/>
      <c r="W77" s="406"/>
      <c r="X77" s="406"/>
      <c r="Y77" s="407"/>
      <c r="Z77" s="379"/>
      <c r="AA77" s="379"/>
      <c r="AB77" s="379"/>
      <c r="AC77" s="27"/>
      <c r="AD77" s="11">
        <v>9</v>
      </c>
      <c r="AE77" s="379"/>
      <c r="AF77" s="379"/>
      <c r="AG77" s="379">
        <v>31</v>
      </c>
      <c r="AH77" s="462" t="s">
        <v>167</v>
      </c>
      <c r="AI77" s="463"/>
      <c r="AJ77" s="1" t="s">
        <v>168</v>
      </c>
      <c r="AK77" s="1" t="s">
        <v>169</v>
      </c>
    </row>
    <row r="78" spans="1:54" x14ac:dyDescent="0.2">
      <c r="AK78" s="1" t="s">
        <v>170</v>
      </c>
    </row>
    <row r="79" spans="1:54" x14ac:dyDescent="0.2">
      <c r="V79" s="382" t="s">
        <v>108</v>
      </c>
      <c r="W79" s="415" t="s">
        <v>109</v>
      </c>
      <c r="X79" s="416"/>
      <c r="Y79" s="417"/>
      <c r="Z79" s="373" t="s">
        <v>110</v>
      </c>
      <c r="AA79" s="373" t="s">
        <v>111</v>
      </c>
      <c r="AB79" s="373" t="s">
        <v>112</v>
      </c>
      <c r="AC79" s="368" t="s">
        <v>113</v>
      </c>
      <c r="AD79" s="382" t="s">
        <v>171</v>
      </c>
      <c r="AE79" s="373" t="s">
        <v>115</v>
      </c>
      <c r="AF79" s="38" t="s">
        <v>116</v>
      </c>
      <c r="AG79" s="38" t="s">
        <v>117</v>
      </c>
      <c r="AH79" s="445" t="s">
        <v>118</v>
      </c>
      <c r="AI79" s="446"/>
    </row>
    <row r="80" spans="1:54" ht="13.2" x14ac:dyDescent="0.2">
      <c r="V80" s="11"/>
      <c r="W80" s="406"/>
      <c r="X80" s="406"/>
      <c r="Y80" s="407"/>
      <c r="Z80" s="379"/>
      <c r="AA80" s="379"/>
      <c r="AB80" s="379"/>
      <c r="AC80" s="27"/>
      <c r="AD80" s="11">
        <v>9</v>
      </c>
      <c r="AE80" s="379">
        <v>30</v>
      </c>
      <c r="AF80" s="379">
        <v>1</v>
      </c>
      <c r="AG80" s="379">
        <v>31</v>
      </c>
      <c r="AH80" s="462" t="s">
        <v>172</v>
      </c>
      <c r="AI80" s="463"/>
      <c r="AJ80" s="1" t="s">
        <v>168</v>
      </c>
      <c r="AK80" s="1" t="s">
        <v>173</v>
      </c>
    </row>
    <row r="82" spans="1:53" x14ac:dyDescent="0.2">
      <c r="V82" s="382" t="s">
        <v>108</v>
      </c>
      <c r="W82" s="415" t="s">
        <v>109</v>
      </c>
      <c r="X82" s="416"/>
      <c r="Y82" s="417"/>
      <c r="Z82" s="373" t="s">
        <v>110</v>
      </c>
      <c r="AA82" s="373" t="s">
        <v>111</v>
      </c>
      <c r="AB82" s="373" t="s">
        <v>112</v>
      </c>
      <c r="AC82" s="368" t="s">
        <v>113</v>
      </c>
      <c r="AD82" s="382" t="s">
        <v>171</v>
      </c>
      <c r="AE82" s="373" t="s">
        <v>115</v>
      </c>
      <c r="AF82" s="38" t="s">
        <v>116</v>
      </c>
      <c r="AG82" s="38" t="s">
        <v>117</v>
      </c>
      <c r="AH82" s="445" t="s">
        <v>118</v>
      </c>
      <c r="AI82" s="446"/>
    </row>
    <row r="83" spans="1:53" ht="13.2" x14ac:dyDescent="0.2">
      <c r="V83" s="11"/>
      <c r="W83" s="406"/>
      <c r="X83" s="406"/>
      <c r="Y83" s="407"/>
      <c r="Z83" s="379"/>
      <c r="AA83" s="379"/>
      <c r="AB83" s="379"/>
      <c r="AC83" s="27"/>
      <c r="AD83" s="11">
        <v>9</v>
      </c>
      <c r="AE83" s="379">
        <v>30</v>
      </c>
      <c r="AF83" s="379">
        <v>1</v>
      </c>
      <c r="AG83" s="379">
        <v>31</v>
      </c>
      <c r="AH83" s="441" t="s">
        <v>172</v>
      </c>
      <c r="AI83" s="442"/>
    </row>
    <row r="84" spans="1:53" ht="13.2" x14ac:dyDescent="0.2">
      <c r="V84" s="11"/>
      <c r="W84" s="406"/>
      <c r="X84" s="406"/>
      <c r="Y84" s="407"/>
      <c r="Z84" s="379"/>
      <c r="AA84" s="379"/>
      <c r="AB84" s="379"/>
      <c r="AC84" s="27"/>
      <c r="AD84" s="11">
        <v>15</v>
      </c>
      <c r="AE84" s="379"/>
      <c r="AF84" s="379"/>
      <c r="AG84" s="379">
        <v>31</v>
      </c>
      <c r="AH84" s="450" t="s">
        <v>174</v>
      </c>
      <c r="AI84" s="451"/>
      <c r="AJ84" s="1" t="s">
        <v>168</v>
      </c>
      <c r="AK84" s="1" t="s">
        <v>175</v>
      </c>
    </row>
    <row r="86" spans="1:53" x14ac:dyDescent="0.2">
      <c r="V86" s="382" t="s">
        <v>108</v>
      </c>
      <c r="W86" s="415" t="s">
        <v>109</v>
      </c>
      <c r="X86" s="416"/>
      <c r="Y86" s="417"/>
      <c r="Z86" s="373" t="s">
        <v>110</v>
      </c>
      <c r="AA86" s="373" t="s">
        <v>111</v>
      </c>
      <c r="AB86" s="373" t="s">
        <v>112</v>
      </c>
      <c r="AC86" s="368" t="s">
        <v>113</v>
      </c>
      <c r="AD86" s="382" t="s">
        <v>171</v>
      </c>
      <c r="AE86" s="373" t="s">
        <v>115</v>
      </c>
      <c r="AF86" s="38" t="s">
        <v>116</v>
      </c>
      <c r="AG86" s="38" t="s">
        <v>117</v>
      </c>
      <c r="AH86" s="445" t="s">
        <v>118</v>
      </c>
      <c r="AI86" s="446"/>
    </row>
    <row r="87" spans="1:53" ht="13.5" customHeight="1" x14ac:dyDescent="0.2">
      <c r="E87" s="438" t="s">
        <v>176</v>
      </c>
      <c r="F87" s="438"/>
      <c r="G87" s="438"/>
      <c r="H87" s="438"/>
      <c r="I87" s="438"/>
      <c r="J87" s="438"/>
      <c r="K87" s="438"/>
      <c r="L87" s="438"/>
      <c r="M87" s="438"/>
      <c r="N87" s="438"/>
      <c r="O87" s="438"/>
      <c r="P87" s="438"/>
      <c r="Q87" s="438"/>
      <c r="R87" s="438"/>
      <c r="S87" s="438"/>
      <c r="T87" s="438"/>
      <c r="U87" s="1" t="s">
        <v>177</v>
      </c>
      <c r="V87" s="11">
        <v>1</v>
      </c>
      <c r="W87" s="413" t="s">
        <v>178</v>
      </c>
      <c r="X87" s="413"/>
      <c r="Y87" s="414"/>
      <c r="Z87" s="379">
        <v>15</v>
      </c>
      <c r="AA87" s="379" t="s">
        <v>98</v>
      </c>
      <c r="AB87" s="379" t="s">
        <v>98</v>
      </c>
      <c r="AC87" s="127" t="s">
        <v>179</v>
      </c>
      <c r="AD87" s="11">
        <v>9</v>
      </c>
      <c r="AE87" s="379">
        <v>30</v>
      </c>
      <c r="AF87" s="379">
        <v>1</v>
      </c>
      <c r="AG87" s="379">
        <v>31</v>
      </c>
      <c r="AH87" s="441" t="s">
        <v>172</v>
      </c>
      <c r="AI87" s="442"/>
    </row>
    <row r="88" spans="1:53" ht="13.2" x14ac:dyDescent="0.2">
      <c r="V88" s="11"/>
      <c r="W88" s="406"/>
      <c r="X88" s="406"/>
      <c r="Y88" s="407"/>
      <c r="Z88" s="379"/>
      <c r="AA88" s="379"/>
      <c r="AB88" s="379"/>
      <c r="AC88" s="27"/>
      <c r="AD88" s="11">
        <v>15</v>
      </c>
      <c r="AE88" s="379">
        <v>2</v>
      </c>
      <c r="AF88" s="379">
        <v>1</v>
      </c>
      <c r="AG88" s="379">
        <v>31</v>
      </c>
      <c r="AH88" s="450" t="s">
        <v>180</v>
      </c>
      <c r="AI88" s="451"/>
      <c r="AJ88" s="1" t="s">
        <v>168</v>
      </c>
      <c r="AK88" s="1" t="s">
        <v>181</v>
      </c>
    </row>
    <row r="90" spans="1:53" x14ac:dyDescent="0.2">
      <c r="V90" s="92" t="s">
        <v>182</v>
      </c>
      <c r="W90" s="92" t="s">
        <v>183</v>
      </c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</row>
    <row r="91" spans="1:53" ht="10.199999999999999" thickBot="1" x14ac:dyDescent="0.25"/>
    <row r="92" spans="1:53" ht="11.25" customHeight="1" thickTop="1" x14ac:dyDescent="0.2">
      <c r="A92" s="388" t="s">
        <v>184</v>
      </c>
      <c r="B92" s="389"/>
      <c r="C92" s="389"/>
      <c r="D92" s="389"/>
      <c r="E92" s="389"/>
      <c r="F92" s="390"/>
      <c r="G92" s="394" t="s">
        <v>185</v>
      </c>
      <c r="H92" s="395"/>
      <c r="I92" s="395"/>
      <c r="J92" s="395"/>
      <c r="K92" s="395"/>
      <c r="L92" s="395"/>
      <c r="M92" s="395"/>
      <c r="N92" s="395"/>
      <c r="O92" s="395"/>
      <c r="P92" s="395"/>
      <c r="Q92" s="395"/>
      <c r="R92" s="395"/>
      <c r="S92" s="395"/>
      <c r="T92" s="395"/>
      <c r="U92" s="396"/>
      <c r="V92" s="684" t="s">
        <v>168</v>
      </c>
      <c r="W92" s="707" t="s">
        <v>186</v>
      </c>
      <c r="X92" s="707"/>
      <c r="Y92" s="707"/>
      <c r="Z92" s="707"/>
      <c r="AA92" s="707"/>
      <c r="AB92" s="707"/>
      <c r="AC92" s="707"/>
      <c r="AD92" s="707"/>
      <c r="AE92" s="707"/>
      <c r="AF92" s="707"/>
      <c r="AG92" s="707"/>
      <c r="AH92" s="707"/>
      <c r="AI92" s="707"/>
      <c r="AJ92" s="707"/>
      <c r="AK92" s="707"/>
      <c r="AL92" s="707"/>
      <c r="AM92" s="707"/>
      <c r="AN92" s="707"/>
      <c r="AO92" s="707"/>
      <c r="AP92" s="707"/>
      <c r="AQ92" s="707"/>
      <c r="AR92" s="707"/>
      <c r="AS92" s="707"/>
      <c r="AT92" s="708"/>
      <c r="AU92" s="710" t="s">
        <v>187</v>
      </c>
      <c r="AV92" s="711"/>
      <c r="AW92" s="711"/>
      <c r="AX92" s="711"/>
      <c r="AY92" s="711"/>
      <c r="AZ92" s="711"/>
      <c r="BA92" s="712"/>
    </row>
    <row r="93" spans="1:53" ht="11.25" customHeight="1" thickBot="1" x14ac:dyDescent="0.25">
      <c r="A93" s="391"/>
      <c r="B93" s="392"/>
      <c r="C93" s="392"/>
      <c r="D93" s="392"/>
      <c r="E93" s="392"/>
      <c r="F93" s="393"/>
      <c r="G93" s="397"/>
      <c r="H93" s="398"/>
      <c r="I93" s="398"/>
      <c r="J93" s="398"/>
      <c r="K93" s="398"/>
      <c r="L93" s="398"/>
      <c r="M93" s="398"/>
      <c r="N93" s="398"/>
      <c r="O93" s="398"/>
      <c r="P93" s="398"/>
      <c r="Q93" s="398"/>
      <c r="R93" s="398"/>
      <c r="S93" s="398"/>
      <c r="T93" s="398"/>
      <c r="U93" s="399"/>
      <c r="V93" s="684"/>
      <c r="W93" s="685" t="s">
        <v>188</v>
      </c>
      <c r="X93" s="685"/>
      <c r="Y93" s="685"/>
      <c r="Z93" s="685"/>
      <c r="AA93" s="685"/>
      <c r="AB93" s="685"/>
      <c r="AC93" s="685"/>
      <c r="AD93" s="685"/>
      <c r="AE93" s="685"/>
      <c r="AF93" s="685"/>
      <c r="AG93" s="685"/>
      <c r="AH93" s="685"/>
      <c r="AI93" s="685"/>
      <c r="AJ93" s="685"/>
      <c r="AK93" s="685"/>
      <c r="AL93" s="685"/>
      <c r="AM93" s="685"/>
      <c r="AN93" s="685"/>
      <c r="AO93" s="685"/>
      <c r="AP93" s="685"/>
      <c r="AQ93" s="685"/>
      <c r="AR93" s="685"/>
      <c r="AS93" s="685"/>
      <c r="AT93" s="685"/>
      <c r="AU93" s="713"/>
      <c r="AV93" s="714"/>
      <c r="AW93" s="714"/>
      <c r="AX93" s="714"/>
      <c r="AY93" s="714"/>
      <c r="AZ93" s="714"/>
      <c r="BA93" s="715"/>
    </row>
    <row r="94" spans="1:53" ht="10.199999999999999" thickTop="1" x14ac:dyDescent="0.2"/>
    <row r="95" spans="1:53" x14ac:dyDescent="0.2">
      <c r="V95" s="1" t="s">
        <v>189</v>
      </c>
    </row>
    <row r="96" spans="1:53" x14ac:dyDescent="0.2">
      <c r="V96" s="1" t="s">
        <v>190</v>
      </c>
      <c r="AE96" s="1" t="s">
        <v>191</v>
      </c>
      <c r="AN96" s="1" t="s">
        <v>192</v>
      </c>
    </row>
    <row r="97" spans="22:46" x14ac:dyDescent="0.2">
      <c r="V97" s="644" t="s">
        <v>109</v>
      </c>
      <c r="W97" s="645"/>
      <c r="X97" s="645"/>
      <c r="Y97" s="645" t="s">
        <v>116</v>
      </c>
      <c r="Z97" s="645"/>
      <c r="AA97" s="645" t="s">
        <v>117</v>
      </c>
      <c r="AB97" s="680"/>
      <c r="AE97" s="644" t="s">
        <v>109</v>
      </c>
      <c r="AF97" s="645"/>
      <c r="AG97" s="645"/>
      <c r="AH97" s="645" t="s">
        <v>116</v>
      </c>
      <c r="AI97" s="645"/>
      <c r="AJ97" s="645" t="s">
        <v>117</v>
      </c>
      <c r="AK97" s="680"/>
      <c r="AN97" s="644" t="s">
        <v>109</v>
      </c>
      <c r="AO97" s="645"/>
      <c r="AP97" s="645"/>
      <c r="AQ97" s="645" t="s">
        <v>116</v>
      </c>
      <c r="AR97" s="645"/>
      <c r="AS97" s="645" t="s">
        <v>117</v>
      </c>
      <c r="AT97" s="680"/>
    </row>
    <row r="98" spans="22:46" ht="13.2" x14ac:dyDescent="0.2">
      <c r="V98" s="639">
        <v>0</v>
      </c>
      <c r="W98" s="640"/>
      <c r="X98" s="641"/>
      <c r="Y98" s="696">
        <v>1</v>
      </c>
      <c r="Z98" s="696"/>
      <c r="AA98" s="696">
        <v>33</v>
      </c>
      <c r="AB98" s="697"/>
      <c r="AE98" s="639">
        <v>0</v>
      </c>
      <c r="AF98" s="640"/>
      <c r="AG98" s="641"/>
      <c r="AH98" s="696">
        <v>1</v>
      </c>
      <c r="AI98" s="696"/>
      <c r="AJ98" s="696">
        <v>33</v>
      </c>
      <c r="AK98" s="697"/>
      <c r="AN98" s="639">
        <v>0</v>
      </c>
      <c r="AO98" s="640"/>
      <c r="AP98" s="641"/>
      <c r="AQ98" s="696">
        <v>1</v>
      </c>
      <c r="AR98" s="696"/>
      <c r="AS98" s="696">
        <v>33</v>
      </c>
      <c r="AT98" s="697"/>
    </row>
    <row r="99" spans="22:46" ht="13.2" x14ac:dyDescent="0.2">
      <c r="V99" s="699">
        <v>1500</v>
      </c>
      <c r="W99" s="406"/>
      <c r="X99" s="407"/>
      <c r="Y99" s="688">
        <v>55</v>
      </c>
      <c r="Z99" s="688"/>
      <c r="AA99" s="688">
        <v>33</v>
      </c>
      <c r="AB99" s="698"/>
      <c r="AE99" s="699">
        <v>1500</v>
      </c>
      <c r="AF99" s="406"/>
      <c r="AG99" s="407"/>
      <c r="AH99" s="688">
        <v>55</v>
      </c>
      <c r="AI99" s="688"/>
      <c r="AJ99" s="688">
        <v>33</v>
      </c>
      <c r="AK99" s="698"/>
      <c r="AN99" s="699">
        <v>1500</v>
      </c>
      <c r="AO99" s="406"/>
      <c r="AP99" s="407"/>
      <c r="AQ99" s="688">
        <v>55</v>
      </c>
      <c r="AR99" s="688"/>
      <c r="AS99" s="688">
        <v>33</v>
      </c>
      <c r="AT99" s="698"/>
    </row>
    <row r="100" spans="22:46" ht="13.2" x14ac:dyDescent="0.2">
      <c r="V100" s="699">
        <v>2322</v>
      </c>
      <c r="W100" s="406"/>
      <c r="X100" s="407"/>
      <c r="Y100" s="688">
        <v>55</v>
      </c>
      <c r="Z100" s="688"/>
      <c r="AA100" s="688">
        <v>69</v>
      </c>
      <c r="AB100" s="698"/>
      <c r="AE100" s="699">
        <v>2322</v>
      </c>
      <c r="AF100" s="406"/>
      <c r="AG100" s="407"/>
      <c r="AH100" s="688">
        <v>55</v>
      </c>
      <c r="AI100" s="688"/>
      <c r="AJ100" s="688">
        <v>69</v>
      </c>
      <c r="AK100" s="698"/>
      <c r="AN100" s="699">
        <v>2322</v>
      </c>
      <c r="AO100" s="406"/>
      <c r="AP100" s="407"/>
      <c r="AQ100" s="688">
        <v>55</v>
      </c>
      <c r="AR100" s="688"/>
      <c r="AS100" s="688">
        <v>69</v>
      </c>
      <c r="AT100" s="698"/>
    </row>
    <row r="101" spans="22:46" ht="13.2" x14ac:dyDescent="0.2">
      <c r="V101" s="635">
        <v>4500</v>
      </c>
      <c r="W101" s="472"/>
      <c r="X101" s="473"/>
      <c r="Y101" s="632" t="s">
        <v>98</v>
      </c>
      <c r="Z101" s="632"/>
      <c r="AA101" s="632" t="s">
        <v>98</v>
      </c>
      <c r="AB101" s="633"/>
      <c r="AE101" s="635"/>
      <c r="AF101" s="472"/>
      <c r="AG101" s="473"/>
      <c r="AH101" s="632"/>
      <c r="AI101" s="632"/>
      <c r="AJ101" s="632"/>
      <c r="AK101" s="633"/>
      <c r="AN101" s="699">
        <v>4432</v>
      </c>
      <c r="AO101" s="406"/>
      <c r="AP101" s="407"/>
      <c r="AQ101" s="688">
        <v>55</v>
      </c>
      <c r="AR101" s="688"/>
      <c r="AS101" s="688" t="s">
        <v>98</v>
      </c>
      <c r="AT101" s="698"/>
    </row>
    <row r="102" spans="22:46" ht="13.2" x14ac:dyDescent="0.2">
      <c r="V102" s="635" t="s">
        <v>98</v>
      </c>
      <c r="W102" s="472"/>
      <c r="X102" s="473"/>
      <c r="Y102" s="632" t="s">
        <v>22</v>
      </c>
      <c r="Z102" s="632"/>
      <c r="AA102" s="632" t="s">
        <v>22</v>
      </c>
      <c r="AB102" s="633"/>
      <c r="AE102" s="635"/>
      <c r="AF102" s="472"/>
      <c r="AG102" s="473"/>
      <c r="AH102" s="632"/>
      <c r="AI102" s="632"/>
      <c r="AJ102" s="632"/>
      <c r="AK102" s="633"/>
      <c r="AN102" s="699">
        <v>4500</v>
      </c>
      <c r="AO102" s="406"/>
      <c r="AP102" s="407"/>
      <c r="AQ102" s="688" t="s">
        <v>22</v>
      </c>
      <c r="AR102" s="688"/>
      <c r="AS102" s="688" t="s">
        <v>22</v>
      </c>
      <c r="AT102" s="698"/>
    </row>
    <row r="103" spans="22:46" ht="13.2" x14ac:dyDescent="0.2">
      <c r="V103" s="635" t="s">
        <v>22</v>
      </c>
      <c r="W103" s="472"/>
      <c r="X103" s="473"/>
      <c r="Y103" s="722" t="s">
        <v>22</v>
      </c>
      <c r="Z103" s="722"/>
      <c r="AA103" s="722" t="s">
        <v>22</v>
      </c>
      <c r="AB103" s="723"/>
      <c r="AE103" s="635"/>
      <c r="AF103" s="472"/>
      <c r="AG103" s="473"/>
      <c r="AH103" s="722"/>
      <c r="AI103" s="722"/>
      <c r="AJ103" s="722"/>
      <c r="AK103" s="723"/>
      <c r="AN103" s="699" t="s">
        <v>22</v>
      </c>
      <c r="AO103" s="406"/>
      <c r="AP103" s="407"/>
      <c r="AQ103" s="717" t="s">
        <v>22</v>
      </c>
      <c r="AR103" s="717"/>
      <c r="AS103" s="717" t="s">
        <v>22</v>
      </c>
      <c r="AT103" s="718"/>
    </row>
    <row r="104" spans="22:46" ht="13.2" x14ac:dyDescent="0.2">
      <c r="V104" s="635" t="s">
        <v>22</v>
      </c>
      <c r="W104" s="472"/>
      <c r="X104" s="473"/>
      <c r="Y104" s="632" t="s">
        <v>22</v>
      </c>
      <c r="Z104" s="632"/>
      <c r="AA104" s="632" t="s">
        <v>22</v>
      </c>
      <c r="AB104" s="633"/>
      <c r="AE104" s="635"/>
      <c r="AF104" s="472"/>
      <c r="AG104" s="473"/>
      <c r="AH104" s="632"/>
      <c r="AI104" s="632"/>
      <c r="AJ104" s="632"/>
      <c r="AK104" s="633"/>
      <c r="AN104" s="699" t="s">
        <v>22</v>
      </c>
      <c r="AO104" s="406"/>
      <c r="AP104" s="407"/>
      <c r="AQ104" s="688" t="s">
        <v>22</v>
      </c>
      <c r="AR104" s="688"/>
      <c r="AS104" s="688" t="s">
        <v>22</v>
      </c>
      <c r="AT104" s="698"/>
    </row>
    <row r="105" spans="22:46" ht="13.2" x14ac:dyDescent="0.2">
      <c r="V105" s="635" t="s">
        <v>22</v>
      </c>
      <c r="W105" s="472"/>
      <c r="X105" s="473"/>
      <c r="Y105" s="632" t="s">
        <v>22</v>
      </c>
      <c r="Z105" s="632"/>
      <c r="AA105" s="632" t="s">
        <v>22</v>
      </c>
      <c r="AB105" s="633"/>
      <c r="AE105" s="635"/>
      <c r="AF105" s="472"/>
      <c r="AG105" s="473"/>
      <c r="AH105" s="632"/>
      <c r="AI105" s="632"/>
      <c r="AJ105" s="632"/>
      <c r="AK105" s="633"/>
      <c r="AN105" s="699" t="s">
        <v>22</v>
      </c>
      <c r="AO105" s="406"/>
      <c r="AP105" s="407"/>
      <c r="AQ105" s="688" t="s">
        <v>22</v>
      </c>
      <c r="AR105" s="688"/>
      <c r="AS105" s="688" t="s">
        <v>22</v>
      </c>
      <c r="AT105" s="698"/>
    </row>
    <row r="106" spans="22:46" ht="13.2" x14ac:dyDescent="0.2">
      <c r="V106" s="635" t="s">
        <v>22</v>
      </c>
      <c r="W106" s="472"/>
      <c r="X106" s="473"/>
      <c r="Y106" s="632" t="s">
        <v>22</v>
      </c>
      <c r="Z106" s="632"/>
      <c r="AA106" s="632" t="s">
        <v>22</v>
      </c>
      <c r="AB106" s="633"/>
      <c r="AE106" s="635"/>
      <c r="AF106" s="472"/>
      <c r="AG106" s="473"/>
      <c r="AH106" s="632"/>
      <c r="AI106" s="632"/>
      <c r="AJ106" s="632"/>
      <c r="AK106" s="633"/>
      <c r="AN106" s="699" t="s">
        <v>22</v>
      </c>
      <c r="AO106" s="406"/>
      <c r="AP106" s="407"/>
      <c r="AQ106" s="688" t="s">
        <v>22</v>
      </c>
      <c r="AR106" s="688"/>
      <c r="AS106" s="688" t="s">
        <v>22</v>
      </c>
      <c r="AT106" s="698"/>
    </row>
    <row r="107" spans="22:46" ht="13.2" x14ac:dyDescent="0.2">
      <c r="V107" s="635" t="s">
        <v>22</v>
      </c>
      <c r="W107" s="472"/>
      <c r="X107" s="473"/>
      <c r="Y107" s="632" t="s">
        <v>22</v>
      </c>
      <c r="Z107" s="632"/>
      <c r="AA107" s="632" t="s">
        <v>22</v>
      </c>
      <c r="AB107" s="633"/>
      <c r="AE107" s="635"/>
      <c r="AF107" s="472"/>
      <c r="AG107" s="473"/>
      <c r="AH107" s="632"/>
      <c r="AI107" s="632"/>
      <c r="AJ107" s="632"/>
      <c r="AK107" s="633"/>
      <c r="AN107" s="699" t="s">
        <v>22</v>
      </c>
      <c r="AO107" s="406"/>
      <c r="AP107" s="407"/>
      <c r="AQ107" s="688" t="s">
        <v>22</v>
      </c>
      <c r="AR107" s="688"/>
      <c r="AS107" s="688" t="s">
        <v>22</v>
      </c>
      <c r="AT107" s="698"/>
    </row>
    <row r="108" spans="22:46" ht="13.2" x14ac:dyDescent="0.2">
      <c r="V108" s="635" t="s">
        <v>22</v>
      </c>
      <c r="W108" s="472"/>
      <c r="X108" s="473"/>
      <c r="Y108" s="632" t="s">
        <v>22</v>
      </c>
      <c r="Z108" s="632"/>
      <c r="AA108" s="632" t="s">
        <v>22</v>
      </c>
      <c r="AB108" s="633"/>
      <c r="AE108" s="635"/>
      <c r="AF108" s="472"/>
      <c r="AG108" s="473"/>
      <c r="AH108" s="632"/>
      <c r="AI108" s="632"/>
      <c r="AJ108" s="632"/>
      <c r="AK108" s="633"/>
      <c r="AN108" s="699" t="s">
        <v>22</v>
      </c>
      <c r="AO108" s="406"/>
      <c r="AP108" s="407"/>
      <c r="AQ108" s="688" t="s">
        <v>22</v>
      </c>
      <c r="AR108" s="688"/>
      <c r="AS108" s="688" t="s">
        <v>22</v>
      </c>
      <c r="AT108" s="698"/>
    </row>
    <row r="109" spans="22:46" ht="13.2" x14ac:dyDescent="0.2">
      <c r="V109" s="656" t="s">
        <v>22</v>
      </c>
      <c r="W109" s="657"/>
      <c r="X109" s="658"/>
      <c r="Y109" s="724" t="s">
        <v>22</v>
      </c>
      <c r="Z109" s="724"/>
      <c r="AA109" s="724" t="s">
        <v>22</v>
      </c>
      <c r="AB109" s="725"/>
      <c r="AE109" s="656"/>
      <c r="AF109" s="657"/>
      <c r="AG109" s="658"/>
      <c r="AH109" s="724"/>
      <c r="AI109" s="724"/>
      <c r="AJ109" s="724"/>
      <c r="AK109" s="725"/>
      <c r="AN109" s="719" t="s">
        <v>22</v>
      </c>
      <c r="AO109" s="720"/>
      <c r="AP109" s="721"/>
      <c r="AQ109" s="726" t="s">
        <v>22</v>
      </c>
      <c r="AR109" s="726"/>
      <c r="AS109" s="726" t="s">
        <v>22</v>
      </c>
      <c r="AT109" s="727"/>
    </row>
  </sheetData>
  <dataConsolidate/>
  <mergeCells count="765">
    <mergeCell ref="AS109:AT109"/>
    <mergeCell ref="AQ107:AR107"/>
    <mergeCell ref="AS107:AT107"/>
    <mergeCell ref="AQ108:AR108"/>
    <mergeCell ref="AS108:AT108"/>
    <mergeCell ref="V103:X103"/>
    <mergeCell ref="V106:X106"/>
    <mergeCell ref="Y106:Z106"/>
    <mergeCell ref="AA106:AB106"/>
    <mergeCell ref="V109:X109"/>
    <mergeCell ref="Y109:Z109"/>
    <mergeCell ref="AA109:AB109"/>
    <mergeCell ref="V107:X107"/>
    <mergeCell ref="Y107:Z107"/>
    <mergeCell ref="AA107:AB107"/>
    <mergeCell ref="V108:X108"/>
    <mergeCell ref="Y108:Z108"/>
    <mergeCell ref="AA108:AB108"/>
    <mergeCell ref="AJ103:AK103"/>
    <mergeCell ref="AE104:AG104"/>
    <mergeCell ref="AH104:AI104"/>
    <mergeCell ref="AJ104:AK104"/>
    <mergeCell ref="AE103:AG103"/>
    <mergeCell ref="AH103:AI103"/>
    <mergeCell ref="AQ109:AR109"/>
    <mergeCell ref="V105:X105"/>
    <mergeCell ref="Y105:Z105"/>
    <mergeCell ref="AA105:AB105"/>
    <mergeCell ref="AA104:AB104"/>
    <mergeCell ref="V104:X104"/>
    <mergeCell ref="Y104:Z104"/>
    <mergeCell ref="AQ106:AR106"/>
    <mergeCell ref="V100:X100"/>
    <mergeCell ref="Y100:Z100"/>
    <mergeCell ref="AA100:AB100"/>
    <mergeCell ref="V102:X102"/>
    <mergeCell ref="AE100:AG100"/>
    <mergeCell ref="Y102:Z102"/>
    <mergeCell ref="AJ101:AK101"/>
    <mergeCell ref="AE102:AG102"/>
    <mergeCell ref="AH102:AI102"/>
    <mergeCell ref="AJ102:AK102"/>
    <mergeCell ref="AE101:AG101"/>
    <mergeCell ref="AH101:AI101"/>
    <mergeCell ref="AE105:AG105"/>
    <mergeCell ref="AH105:AI105"/>
    <mergeCell ref="AJ105:AK105"/>
    <mergeCell ref="AE106:AG106"/>
    <mergeCell ref="AN107:AP107"/>
    <mergeCell ref="AN109:AP109"/>
    <mergeCell ref="AN101:AP101"/>
    <mergeCell ref="V101:X101"/>
    <mergeCell ref="Y101:Z101"/>
    <mergeCell ref="AA101:AB101"/>
    <mergeCell ref="AN108:AP108"/>
    <mergeCell ref="AN106:AP106"/>
    <mergeCell ref="AA102:AB102"/>
    <mergeCell ref="Y103:Z103"/>
    <mergeCell ref="AA103:AB103"/>
    <mergeCell ref="AH106:AI106"/>
    <mergeCell ref="AJ106:AK106"/>
    <mergeCell ref="AE109:AG109"/>
    <mergeCell ref="AH109:AI109"/>
    <mergeCell ref="AJ109:AK109"/>
    <mergeCell ref="AE107:AG107"/>
    <mergeCell ref="AH107:AI107"/>
    <mergeCell ref="AJ107:AK107"/>
    <mergeCell ref="AE108:AG108"/>
    <mergeCell ref="AH108:AI108"/>
    <mergeCell ref="AJ108:AK108"/>
    <mergeCell ref="AN102:AP102"/>
    <mergeCell ref="AQ102:AR102"/>
    <mergeCell ref="AS102:AT102"/>
    <mergeCell ref="AQ103:AR103"/>
    <mergeCell ref="AS103:AT103"/>
    <mergeCell ref="AN103:AP103"/>
    <mergeCell ref="AN100:AP100"/>
    <mergeCell ref="AS100:AT100"/>
    <mergeCell ref="AS106:AT106"/>
    <mergeCell ref="AN105:AP105"/>
    <mergeCell ref="AN104:AP104"/>
    <mergeCell ref="AQ104:AR104"/>
    <mergeCell ref="AS104:AT104"/>
    <mergeCell ref="AQ105:AR105"/>
    <mergeCell ref="AS105:AT105"/>
    <mergeCell ref="AQ101:AR101"/>
    <mergeCell ref="AS101:AT101"/>
    <mergeCell ref="AQ100:AR100"/>
    <mergeCell ref="AJ100:AK100"/>
    <mergeCell ref="AE99:AG99"/>
    <mergeCell ref="AH99:AI99"/>
    <mergeCell ref="AN98:AP98"/>
    <mergeCell ref="AN99:AP99"/>
    <mergeCell ref="AQ99:AR99"/>
    <mergeCell ref="A4:F5"/>
    <mergeCell ref="A29:F30"/>
    <mergeCell ref="V99:X99"/>
    <mergeCell ref="AJ99:AK99"/>
    <mergeCell ref="Y99:Z99"/>
    <mergeCell ref="W92:AT92"/>
    <mergeCell ref="B71:AA71"/>
    <mergeCell ref="AD71:BA71"/>
    <mergeCell ref="B72:AE72"/>
    <mergeCell ref="AU92:BA93"/>
    <mergeCell ref="BA65:BB65"/>
    <mergeCell ref="Y65:AE65"/>
    <mergeCell ref="Y66:AE66"/>
    <mergeCell ref="Y67:AE67"/>
    <mergeCell ref="S65:X65"/>
    <mergeCell ref="AQ98:AR98"/>
    <mergeCell ref="AS98:AT98"/>
    <mergeCell ref="V98:X98"/>
    <mergeCell ref="Y98:Z98"/>
    <mergeCell ref="AA98:AB98"/>
    <mergeCell ref="AS97:AT97"/>
    <mergeCell ref="AS99:AT99"/>
    <mergeCell ref="AA99:AB99"/>
    <mergeCell ref="AJ97:AK97"/>
    <mergeCell ref="AE98:AG98"/>
    <mergeCell ref="AH98:AI98"/>
    <mergeCell ref="AJ98:AK98"/>
    <mergeCell ref="AE97:AG97"/>
    <mergeCell ref="AH97:AI97"/>
    <mergeCell ref="AN97:AP97"/>
    <mergeCell ref="AH100:AI100"/>
    <mergeCell ref="AQ97:AR97"/>
    <mergeCell ref="B22:N22"/>
    <mergeCell ref="O23:S23"/>
    <mergeCell ref="O21:S21"/>
    <mergeCell ref="B17:N17"/>
    <mergeCell ref="O19:S19"/>
    <mergeCell ref="O20:S20"/>
    <mergeCell ref="B33:N33"/>
    <mergeCell ref="AP20:AR20"/>
    <mergeCell ref="V29:AC30"/>
    <mergeCell ref="W32:Y32"/>
    <mergeCell ref="W31:Y31"/>
    <mergeCell ref="T28:U28"/>
    <mergeCell ref="T31:U31"/>
    <mergeCell ref="T27:U27"/>
    <mergeCell ref="G29:U30"/>
    <mergeCell ref="B20:N20"/>
    <mergeCell ref="B21:N21"/>
    <mergeCell ref="B23:N23"/>
    <mergeCell ref="O24:S24"/>
    <mergeCell ref="O25:S25"/>
    <mergeCell ref="B24:N24"/>
    <mergeCell ref="B25:N25"/>
    <mergeCell ref="AP47:AR47"/>
    <mergeCell ref="AO55:AP55"/>
    <mergeCell ref="AM55:AN55"/>
    <mergeCell ref="AP48:AR48"/>
    <mergeCell ref="AK59:AM59"/>
    <mergeCell ref="AP44:AR44"/>
    <mergeCell ref="AD53:AI53"/>
    <mergeCell ref="AP40:AR40"/>
    <mergeCell ref="AP43:AR43"/>
    <mergeCell ref="AP42:AR42"/>
    <mergeCell ref="V97:X97"/>
    <mergeCell ref="Y97:Z97"/>
    <mergeCell ref="AA97:AB97"/>
    <mergeCell ref="AB58:AC58"/>
    <mergeCell ref="X57:Y57"/>
    <mergeCell ref="AH77:AI77"/>
    <mergeCell ref="Z55:AA55"/>
    <mergeCell ref="X58:Y58"/>
    <mergeCell ref="W83:Y83"/>
    <mergeCell ref="V92:V93"/>
    <mergeCell ref="W93:AT93"/>
    <mergeCell ref="BA59:BB59"/>
    <mergeCell ref="AY60:AZ60"/>
    <mergeCell ref="BA60:BB60"/>
    <mergeCell ref="AJ63:AO63"/>
    <mergeCell ref="AP63:AU63"/>
    <mergeCell ref="BA62:BB62"/>
    <mergeCell ref="AP52:AR52"/>
    <mergeCell ref="AU51:AX51"/>
    <mergeCell ref="AY57:AZ57"/>
    <mergeCell ref="AY53:AZ53"/>
    <mergeCell ref="AY62:AZ62"/>
    <mergeCell ref="AY63:AZ63"/>
    <mergeCell ref="AH59:AJ59"/>
    <mergeCell ref="AF63:AI63"/>
    <mergeCell ref="AE59:AG59"/>
    <mergeCell ref="AE58:AG58"/>
    <mergeCell ref="AN58:AP58"/>
    <mergeCell ref="AJ60:AP60"/>
    <mergeCell ref="AP51:AR51"/>
    <mergeCell ref="BA55:BB55"/>
    <mergeCell ref="Y63:AE63"/>
    <mergeCell ref="Z59:AA59"/>
    <mergeCell ref="X56:Y56"/>
    <mergeCell ref="X55:Y55"/>
    <mergeCell ref="AU48:AX48"/>
    <mergeCell ref="AV63:AX63"/>
    <mergeCell ref="AV61:AX61"/>
    <mergeCell ref="AY55:AZ55"/>
    <mergeCell ref="AY58:AZ58"/>
    <mergeCell ref="AV60:AX60"/>
    <mergeCell ref="AP46:AR46"/>
    <mergeCell ref="AP45:AR45"/>
    <mergeCell ref="AP53:AR53"/>
    <mergeCell ref="AY47:AZ47"/>
    <mergeCell ref="AU47:AX47"/>
    <mergeCell ref="AJ61:AP61"/>
    <mergeCell ref="AN59:AP59"/>
    <mergeCell ref="AO57:AP57"/>
    <mergeCell ref="AI55:AJ55"/>
    <mergeCell ref="AI57:AJ57"/>
    <mergeCell ref="AI56:AJ56"/>
    <mergeCell ref="AO56:AP56"/>
    <mergeCell ref="AK55:AL55"/>
    <mergeCell ref="AK57:AL57"/>
    <mergeCell ref="AM57:AN57"/>
    <mergeCell ref="AK58:AM58"/>
    <mergeCell ref="AH58:AJ58"/>
    <mergeCell ref="AP49:AR49"/>
    <mergeCell ref="A1:V1"/>
    <mergeCell ref="Y1:AO1"/>
    <mergeCell ref="T2:V2"/>
    <mergeCell ref="AP4:BB5"/>
    <mergeCell ref="AY11:AZ11"/>
    <mergeCell ref="BA2:BB2"/>
    <mergeCell ref="AY13:AZ13"/>
    <mergeCell ref="AP41:AR41"/>
    <mergeCell ref="BA9:BB9"/>
    <mergeCell ref="BA35:BB35"/>
    <mergeCell ref="AP26:AR26"/>
    <mergeCell ref="AJ29:AO52"/>
    <mergeCell ref="AH51:AI51"/>
    <mergeCell ref="AH48:AI48"/>
    <mergeCell ref="AP50:AR50"/>
    <mergeCell ref="AH52:AI52"/>
    <mergeCell ref="BA39:BB39"/>
    <mergeCell ref="AH50:AI50"/>
    <mergeCell ref="BA11:BB11"/>
    <mergeCell ref="BA42:BB42"/>
    <mergeCell ref="AU40:AX40"/>
    <mergeCell ref="BA43:BB43"/>
    <mergeCell ref="AY41:AZ41"/>
    <mergeCell ref="BA41:BB41"/>
    <mergeCell ref="AY36:AZ36"/>
    <mergeCell ref="BA38:BB38"/>
    <mergeCell ref="BA40:BB40"/>
    <mergeCell ref="AY40:AZ40"/>
    <mergeCell ref="BA36:BB36"/>
    <mergeCell ref="AP36:AR36"/>
    <mergeCell ref="AP39:AR39"/>
    <mergeCell ref="AP38:AR38"/>
    <mergeCell ref="BA37:BB37"/>
    <mergeCell ref="AP37:AR37"/>
    <mergeCell ref="AU36:AX36"/>
    <mergeCell ref="AU42:AX42"/>
    <mergeCell ref="AY42:AZ42"/>
    <mergeCell ref="AU39:AX39"/>
    <mergeCell ref="AU38:AX38"/>
    <mergeCell ref="AU41:AX41"/>
    <mergeCell ref="AY38:AZ38"/>
    <mergeCell ref="AY37:AZ37"/>
    <mergeCell ref="BA45:BB45"/>
    <mergeCell ref="AY45:AZ45"/>
    <mergeCell ref="AY44:AZ44"/>
    <mergeCell ref="AU37:AX37"/>
    <mergeCell ref="AY39:AZ39"/>
    <mergeCell ref="BA46:BB46"/>
    <mergeCell ref="AU45:AX45"/>
    <mergeCell ref="AU44:AX44"/>
    <mergeCell ref="AY43:AZ43"/>
    <mergeCell ref="BA44:BB44"/>
    <mergeCell ref="AU43:AX43"/>
    <mergeCell ref="AY46:AZ46"/>
    <mergeCell ref="AU46:AX46"/>
    <mergeCell ref="AY64:AZ64"/>
    <mergeCell ref="AV62:AX62"/>
    <mergeCell ref="AY59:AZ59"/>
    <mergeCell ref="AY61:AZ61"/>
    <mergeCell ref="AV59:AX59"/>
    <mergeCell ref="AV55:AX55"/>
    <mergeCell ref="AU53:AX53"/>
    <mergeCell ref="BA51:BB51"/>
    <mergeCell ref="BA47:BB47"/>
    <mergeCell ref="BA50:BB50"/>
    <mergeCell ref="AY52:AZ52"/>
    <mergeCell ref="AY49:AZ49"/>
    <mergeCell ref="AY50:AZ50"/>
    <mergeCell ref="AY48:AZ48"/>
    <mergeCell ref="BA48:BB48"/>
    <mergeCell ref="BA53:BB53"/>
    <mergeCell ref="BA49:BB49"/>
    <mergeCell ref="AE55:AF55"/>
    <mergeCell ref="BA52:BB52"/>
    <mergeCell ref="AY51:AZ51"/>
    <mergeCell ref="AU50:AX50"/>
    <mergeCell ref="BA58:BB58"/>
    <mergeCell ref="AG57:AH57"/>
    <mergeCell ref="AV57:AX57"/>
    <mergeCell ref="AV58:AX58"/>
    <mergeCell ref="AK56:AL56"/>
    <mergeCell ref="BA56:BB56"/>
    <mergeCell ref="AV56:AX56"/>
    <mergeCell ref="AY56:AZ56"/>
    <mergeCell ref="BA57:BB57"/>
    <mergeCell ref="AM56:AN56"/>
    <mergeCell ref="AE57:AF57"/>
    <mergeCell ref="AG55:AH55"/>
    <mergeCell ref="AG56:AH56"/>
    <mergeCell ref="AU52:AX52"/>
    <mergeCell ref="AU49:AX49"/>
    <mergeCell ref="AE56:AF56"/>
    <mergeCell ref="BA34:BB34"/>
    <mergeCell ref="BA25:BB25"/>
    <mergeCell ref="AY25:AZ25"/>
    <mergeCell ref="AY26:AZ26"/>
    <mergeCell ref="AP28:AR28"/>
    <mergeCell ref="AU34:AX34"/>
    <mergeCell ref="AP34:AR34"/>
    <mergeCell ref="AY35:AZ35"/>
    <mergeCell ref="AU35:AX35"/>
    <mergeCell ref="AY33:AZ33"/>
    <mergeCell ref="AY27:AZ27"/>
    <mergeCell ref="AY34:AZ34"/>
    <mergeCell ref="AP33:AR33"/>
    <mergeCell ref="AP31:AR31"/>
    <mergeCell ref="AP32:AR32"/>
    <mergeCell ref="BA33:BB33"/>
    <mergeCell ref="BA27:BB27"/>
    <mergeCell ref="AP25:AR25"/>
    <mergeCell ref="AP35:AR35"/>
    <mergeCell ref="AP27:AR27"/>
    <mergeCell ref="AP29:BB30"/>
    <mergeCell ref="BA24:BB24"/>
    <mergeCell ref="BA23:BB23"/>
    <mergeCell ref="AU33:AX33"/>
    <mergeCell ref="AU32:AX32"/>
    <mergeCell ref="AU31:AX31"/>
    <mergeCell ref="AU23:AX23"/>
    <mergeCell ref="AU24:AX24"/>
    <mergeCell ref="BA26:BB26"/>
    <mergeCell ref="AY32:AZ32"/>
    <mergeCell ref="BA28:BB28"/>
    <mergeCell ref="AY28:AZ28"/>
    <mergeCell ref="BA31:BB31"/>
    <mergeCell ref="AU27:AX27"/>
    <mergeCell ref="AU26:AX26"/>
    <mergeCell ref="BA32:BB32"/>
    <mergeCell ref="AY31:AZ31"/>
    <mergeCell ref="AU28:AX28"/>
    <mergeCell ref="AU25:AX25"/>
    <mergeCell ref="BA22:BB22"/>
    <mergeCell ref="AY23:AZ23"/>
    <mergeCell ref="AH15:AI15"/>
    <mergeCell ref="AP21:AR21"/>
    <mergeCell ref="AY24:AZ24"/>
    <mergeCell ref="BA16:BB16"/>
    <mergeCell ref="AU15:AX15"/>
    <mergeCell ref="BA20:BB20"/>
    <mergeCell ref="BA21:BB21"/>
    <mergeCell ref="BA18:BB18"/>
    <mergeCell ref="BA17:BB17"/>
    <mergeCell ref="AY19:AZ19"/>
    <mergeCell ref="AP23:AR23"/>
    <mergeCell ref="BA19:BB19"/>
    <mergeCell ref="AY18:AZ18"/>
    <mergeCell ref="AY15:AZ15"/>
    <mergeCell ref="BA15:BB15"/>
    <mergeCell ref="AY21:AZ21"/>
    <mergeCell ref="AU19:AX19"/>
    <mergeCell ref="AU20:AX20"/>
    <mergeCell ref="AU16:AX16"/>
    <mergeCell ref="AY17:AZ17"/>
    <mergeCell ref="AY20:AZ20"/>
    <mergeCell ref="AU17:AX17"/>
    <mergeCell ref="AP12:AR12"/>
    <mergeCell ref="O9:S9"/>
    <mergeCell ref="AU12:AX12"/>
    <mergeCell ref="AH20:AI20"/>
    <mergeCell ref="AH18:AI18"/>
    <mergeCell ref="AP16:AR16"/>
    <mergeCell ref="AP10:AR10"/>
    <mergeCell ref="AP9:AR9"/>
    <mergeCell ref="O15:S15"/>
    <mergeCell ref="AU10:AX10"/>
    <mergeCell ref="AU22:AX22"/>
    <mergeCell ref="AH14:AI14"/>
    <mergeCell ref="AP15:AR15"/>
    <mergeCell ref="AP19:AR19"/>
    <mergeCell ref="AP18:AR18"/>
    <mergeCell ref="AH19:AI19"/>
    <mergeCell ref="AU18:AX18"/>
    <mergeCell ref="AP22:AR22"/>
    <mergeCell ref="AU21:AX21"/>
    <mergeCell ref="B13:N13"/>
    <mergeCell ref="B14:N14"/>
    <mergeCell ref="O10:S10"/>
    <mergeCell ref="O12:S12"/>
    <mergeCell ref="B11:N11"/>
    <mergeCell ref="AY16:AZ16"/>
    <mergeCell ref="AY22:AZ22"/>
    <mergeCell ref="T12:U12"/>
    <mergeCell ref="O11:S11"/>
    <mergeCell ref="AH11:AI11"/>
    <mergeCell ref="B15:N15"/>
    <mergeCell ref="O16:S16"/>
    <mergeCell ref="O17:S17"/>
    <mergeCell ref="AP14:AR14"/>
    <mergeCell ref="T17:U17"/>
    <mergeCell ref="T15:U15"/>
    <mergeCell ref="T14:U14"/>
    <mergeCell ref="AP17:AR17"/>
    <mergeCell ref="AJ4:AO27"/>
    <mergeCell ref="AP24:AR24"/>
    <mergeCell ref="AH9:AI9"/>
    <mergeCell ref="O18:S18"/>
    <mergeCell ref="T16:U16"/>
    <mergeCell ref="T13:U13"/>
    <mergeCell ref="W26:Y26"/>
    <mergeCell ref="W17:Y17"/>
    <mergeCell ref="W18:Y18"/>
    <mergeCell ref="T20:U20"/>
    <mergeCell ref="T21:U21"/>
    <mergeCell ref="T23:U23"/>
    <mergeCell ref="T24:U24"/>
    <mergeCell ref="T18:U18"/>
    <mergeCell ref="T19:U19"/>
    <mergeCell ref="T22:U22"/>
    <mergeCell ref="O6:S6"/>
    <mergeCell ref="O7:S7"/>
    <mergeCell ref="B8:N8"/>
    <mergeCell ref="AU8:AX8"/>
    <mergeCell ref="T6:U6"/>
    <mergeCell ref="AH10:AI10"/>
    <mergeCell ref="B10:N10"/>
    <mergeCell ref="AU11:AX11"/>
    <mergeCell ref="T9:U9"/>
    <mergeCell ref="AP8:AR8"/>
    <mergeCell ref="B9:N9"/>
    <mergeCell ref="AU9:AX9"/>
    <mergeCell ref="W9:Y9"/>
    <mergeCell ref="AH6:AI6"/>
    <mergeCell ref="B7:N7"/>
    <mergeCell ref="W7:Y7"/>
    <mergeCell ref="W6:Y6"/>
    <mergeCell ref="B6:N6"/>
    <mergeCell ref="O8:S8"/>
    <mergeCell ref="AP11:AR11"/>
    <mergeCell ref="AO2:AQ2"/>
    <mergeCell ref="AX2:AZ2"/>
    <mergeCell ref="BA7:BB7"/>
    <mergeCell ref="BA8:BB8"/>
    <mergeCell ref="AY8:AZ8"/>
    <mergeCell ref="A2:B2"/>
    <mergeCell ref="C2:S2"/>
    <mergeCell ref="AU2:AW2"/>
    <mergeCell ref="AM2:AN2"/>
    <mergeCell ref="V4:AC5"/>
    <mergeCell ref="G4:U5"/>
    <mergeCell ref="AD4:AI5"/>
    <mergeCell ref="W2:AD2"/>
    <mergeCell ref="W8:Y8"/>
    <mergeCell ref="T8:U8"/>
    <mergeCell ref="T7:U7"/>
    <mergeCell ref="AH7:AI7"/>
    <mergeCell ref="AH8:AI8"/>
    <mergeCell ref="AP7:AR7"/>
    <mergeCell ref="AE2:AF2"/>
    <mergeCell ref="AG2:AL2"/>
    <mergeCell ref="AR2:AT2"/>
    <mergeCell ref="AY7:AZ7"/>
    <mergeCell ref="AU7:AX7"/>
    <mergeCell ref="AY9:AZ9"/>
    <mergeCell ref="AP13:AR13"/>
    <mergeCell ref="AU13:AX13"/>
    <mergeCell ref="AY10:AZ10"/>
    <mergeCell ref="BA6:BB6"/>
    <mergeCell ref="AY6:AZ6"/>
    <mergeCell ref="AP6:AR6"/>
    <mergeCell ref="AU6:AX6"/>
    <mergeCell ref="O22:S22"/>
    <mergeCell ref="W21:Y21"/>
    <mergeCell ref="W19:Y19"/>
    <mergeCell ref="W20:Y20"/>
    <mergeCell ref="BA10:BB10"/>
    <mergeCell ref="BA14:BB14"/>
    <mergeCell ref="BA12:BB12"/>
    <mergeCell ref="BA13:BB13"/>
    <mergeCell ref="AY12:AZ12"/>
    <mergeCell ref="AY14:AZ14"/>
    <mergeCell ref="W11:Y11"/>
    <mergeCell ref="W13:Y13"/>
    <mergeCell ref="W12:Y12"/>
    <mergeCell ref="AH17:AI17"/>
    <mergeCell ref="W15:Y15"/>
    <mergeCell ref="AU14:AX14"/>
    <mergeCell ref="AH23:AI23"/>
    <mergeCell ref="W14:Y14"/>
    <mergeCell ref="AH16:AI16"/>
    <mergeCell ref="W16:Y16"/>
    <mergeCell ref="W10:Y10"/>
    <mergeCell ref="T11:U11"/>
    <mergeCell ref="T10:U10"/>
    <mergeCell ref="T42:U42"/>
    <mergeCell ref="T41:U41"/>
    <mergeCell ref="AH21:AI21"/>
    <mergeCell ref="AH22:AI22"/>
    <mergeCell ref="AD29:AI30"/>
    <mergeCell ref="W28:Y28"/>
    <mergeCell ref="W22:Y22"/>
    <mergeCell ref="W23:Y23"/>
    <mergeCell ref="W24:Y24"/>
    <mergeCell ref="W25:Y25"/>
    <mergeCell ref="AH24:AI24"/>
    <mergeCell ref="AH25:AI25"/>
    <mergeCell ref="AH31:AI31"/>
    <mergeCell ref="W33:Y33"/>
    <mergeCell ref="AH26:AI26"/>
    <mergeCell ref="AH27:AI27"/>
    <mergeCell ref="T25:U25"/>
    <mergeCell ref="O34:S34"/>
    <mergeCell ref="O31:S31"/>
    <mergeCell ref="T26:U26"/>
    <mergeCell ref="O26:S26"/>
    <mergeCell ref="O27:S27"/>
    <mergeCell ref="T32:U32"/>
    <mergeCell ref="O32:S32"/>
    <mergeCell ref="O28:S28"/>
    <mergeCell ref="T34:U34"/>
    <mergeCell ref="T33:U33"/>
    <mergeCell ref="T49:U49"/>
    <mergeCell ref="O47:S47"/>
    <mergeCell ref="O44:S44"/>
    <mergeCell ref="T45:U45"/>
    <mergeCell ref="B47:N47"/>
    <mergeCell ref="B48:N48"/>
    <mergeCell ref="T48:U48"/>
    <mergeCell ref="O36:S36"/>
    <mergeCell ref="O39:S39"/>
    <mergeCell ref="O42:S42"/>
    <mergeCell ref="O40:S40"/>
    <mergeCell ref="T36:U36"/>
    <mergeCell ref="T39:U39"/>
    <mergeCell ref="T37:U37"/>
    <mergeCell ref="T43:U43"/>
    <mergeCell ref="O45:S45"/>
    <mergeCell ref="T46:U46"/>
    <mergeCell ref="O48:S48"/>
    <mergeCell ref="O41:S41"/>
    <mergeCell ref="B35:N35"/>
    <mergeCell ref="B39:N39"/>
    <mergeCell ref="B27:N27"/>
    <mergeCell ref="B26:N26"/>
    <mergeCell ref="B41:N41"/>
    <mergeCell ref="B28:N28"/>
    <mergeCell ref="B40:N40"/>
    <mergeCell ref="B36:N36"/>
    <mergeCell ref="B38:N38"/>
    <mergeCell ref="A56:B56"/>
    <mergeCell ref="A57:B57"/>
    <mergeCell ref="B43:N43"/>
    <mergeCell ref="B32:N32"/>
    <mergeCell ref="B19:N19"/>
    <mergeCell ref="B18:N18"/>
    <mergeCell ref="B16:N16"/>
    <mergeCell ref="A59:B59"/>
    <mergeCell ref="P59:Q59"/>
    <mergeCell ref="N59:O59"/>
    <mergeCell ref="O33:S33"/>
    <mergeCell ref="O43:S43"/>
    <mergeCell ref="L56:M56"/>
    <mergeCell ref="A58:B58"/>
    <mergeCell ref="P57:Q57"/>
    <mergeCell ref="L57:M57"/>
    <mergeCell ref="S57:T57"/>
    <mergeCell ref="S58:T58"/>
    <mergeCell ref="N58:O58"/>
    <mergeCell ref="P58:Q58"/>
    <mergeCell ref="N57:O57"/>
    <mergeCell ref="L58:M58"/>
    <mergeCell ref="L59:M59"/>
    <mergeCell ref="B34:N34"/>
    <mergeCell ref="C55:E55"/>
    <mergeCell ref="B53:N53"/>
    <mergeCell ref="O53:S53"/>
    <mergeCell ref="O50:S50"/>
    <mergeCell ref="O51:S51"/>
    <mergeCell ref="F55:H55"/>
    <mergeCell ref="I55:K55"/>
    <mergeCell ref="B52:N52"/>
    <mergeCell ref="B50:N50"/>
    <mergeCell ref="O52:S52"/>
    <mergeCell ref="R55:U55"/>
    <mergeCell ref="L55:Q55"/>
    <mergeCell ref="AV67:AX67"/>
    <mergeCell ref="AP64:AU64"/>
    <mergeCell ref="AJ64:AO64"/>
    <mergeCell ref="AV66:AX66"/>
    <mergeCell ref="X60:Y60"/>
    <mergeCell ref="S67:X67"/>
    <mergeCell ref="W79:Y79"/>
    <mergeCell ref="G69:BB69"/>
    <mergeCell ref="AY66:AZ66"/>
    <mergeCell ref="BA67:BB67"/>
    <mergeCell ref="AY67:AZ67"/>
    <mergeCell ref="AJ65:AO67"/>
    <mergeCell ref="AP65:AU67"/>
    <mergeCell ref="V61:W61"/>
    <mergeCell ref="BA63:BB63"/>
    <mergeCell ref="BA61:BB61"/>
    <mergeCell ref="AF65:AI67"/>
    <mergeCell ref="S66:X66"/>
    <mergeCell ref="A62:U62"/>
    <mergeCell ref="V62:W62"/>
    <mergeCell ref="X62:Y62"/>
    <mergeCell ref="A61:B61"/>
    <mergeCell ref="Y64:AE64"/>
    <mergeCell ref="AB62:AC62"/>
    <mergeCell ref="W40:Y40"/>
    <mergeCell ref="BA66:BB66"/>
    <mergeCell ref="AH34:AI34"/>
    <mergeCell ref="AH36:AI36"/>
    <mergeCell ref="W51:Y51"/>
    <mergeCell ref="W52:Y52"/>
    <mergeCell ref="W49:Y49"/>
    <mergeCell ref="W34:Y34"/>
    <mergeCell ref="AH40:AI40"/>
    <mergeCell ref="S63:X63"/>
    <mergeCell ref="S64:X64"/>
    <mergeCell ref="S61:T61"/>
    <mergeCell ref="AV64:AX64"/>
    <mergeCell ref="AV65:AX65"/>
    <mergeCell ref="AY65:AZ65"/>
    <mergeCell ref="BA64:BB64"/>
    <mergeCell ref="Z62:AA62"/>
    <mergeCell ref="O37:S37"/>
    <mergeCell ref="O38:S38"/>
    <mergeCell ref="T40:U40"/>
    <mergeCell ref="W36:Y36"/>
    <mergeCell ref="T38:U38"/>
    <mergeCell ref="O35:S35"/>
    <mergeCell ref="T35:U35"/>
    <mergeCell ref="W38:Y38"/>
    <mergeCell ref="W39:Y39"/>
    <mergeCell ref="AH33:AI33"/>
    <mergeCell ref="W35:Y35"/>
    <mergeCell ref="Z56:AA56"/>
    <mergeCell ref="Z57:AA57"/>
    <mergeCell ref="AB57:AC57"/>
    <mergeCell ref="AB55:AC55"/>
    <mergeCell ref="B12:N12"/>
    <mergeCell ref="O13:S13"/>
    <mergeCell ref="O14:S14"/>
    <mergeCell ref="AH45:AI45"/>
    <mergeCell ref="B46:N46"/>
    <mergeCell ref="B44:N44"/>
    <mergeCell ref="B45:N45"/>
    <mergeCell ref="B31:N31"/>
    <mergeCell ref="B42:N42"/>
    <mergeCell ref="B37:N37"/>
    <mergeCell ref="AH12:AI12"/>
    <mergeCell ref="AH13:AI13"/>
    <mergeCell ref="W27:Y27"/>
    <mergeCell ref="W37:Y37"/>
    <mergeCell ref="W44:Y44"/>
    <mergeCell ref="W45:Y45"/>
    <mergeCell ref="AJ28:AO28"/>
    <mergeCell ref="AJ53:AO53"/>
    <mergeCell ref="AH41:AI41"/>
    <mergeCell ref="AH42:AI42"/>
    <mergeCell ref="AH35:AI35"/>
    <mergeCell ref="AH49:AI49"/>
    <mergeCell ref="AH32:AI32"/>
    <mergeCell ref="AH38:AI38"/>
    <mergeCell ref="AH37:AI37"/>
    <mergeCell ref="AD28:AI28"/>
    <mergeCell ref="AH39:AI39"/>
    <mergeCell ref="W47:Y47"/>
    <mergeCell ref="W46:Y46"/>
    <mergeCell ref="W42:Y42"/>
    <mergeCell ref="W76:Y76"/>
    <mergeCell ref="AH46:AI46"/>
    <mergeCell ref="AH47:AI47"/>
    <mergeCell ref="AH43:AI43"/>
    <mergeCell ref="AH44:AI44"/>
    <mergeCell ref="W43:Y43"/>
    <mergeCell ref="W50:Y50"/>
    <mergeCell ref="W48:Y48"/>
    <mergeCell ref="V57:W57"/>
    <mergeCell ref="Z60:AA60"/>
    <mergeCell ref="AB60:AC60"/>
    <mergeCell ref="Z61:AA61"/>
    <mergeCell ref="X61:Y61"/>
    <mergeCell ref="V60:W60"/>
    <mergeCell ref="V59:W59"/>
    <mergeCell ref="V58:W58"/>
    <mergeCell ref="X59:Y59"/>
    <mergeCell ref="AB59:AC59"/>
    <mergeCell ref="Z58:AA58"/>
    <mergeCell ref="W41:Y41"/>
    <mergeCell ref="T47:U47"/>
    <mergeCell ref="AB56:AC56"/>
    <mergeCell ref="V55:W55"/>
    <mergeCell ref="P56:Q56"/>
    <mergeCell ref="N56:O56"/>
    <mergeCell ref="V56:W56"/>
    <mergeCell ref="W53:Y53"/>
    <mergeCell ref="V54:Y54"/>
    <mergeCell ref="T50:U50"/>
    <mergeCell ref="T54:U54"/>
    <mergeCell ref="T53:U53"/>
    <mergeCell ref="T52:U52"/>
    <mergeCell ref="S56:T56"/>
    <mergeCell ref="T51:U51"/>
    <mergeCell ref="B49:N49"/>
    <mergeCell ref="O49:S49"/>
    <mergeCell ref="T44:U44"/>
    <mergeCell ref="O46:S46"/>
    <mergeCell ref="A55:B55"/>
    <mergeCell ref="Q54:R54"/>
    <mergeCell ref="A54:L54"/>
    <mergeCell ref="M54:P54"/>
    <mergeCell ref="B51:N51"/>
    <mergeCell ref="S59:T59"/>
    <mergeCell ref="AH79:AI79"/>
    <mergeCell ref="A65:F65"/>
    <mergeCell ref="A66:F66"/>
    <mergeCell ref="W88:Y88"/>
    <mergeCell ref="AH88:AI88"/>
    <mergeCell ref="V74:AC75"/>
    <mergeCell ref="AD74:AI75"/>
    <mergeCell ref="AH84:AI84"/>
    <mergeCell ref="W86:Y86"/>
    <mergeCell ref="AH82:AI82"/>
    <mergeCell ref="AH87:AI87"/>
    <mergeCell ref="AH76:AI76"/>
    <mergeCell ref="AH80:AI80"/>
    <mergeCell ref="AH86:AI86"/>
    <mergeCell ref="A63:F63"/>
    <mergeCell ref="G66:R66"/>
    <mergeCell ref="G65:R65"/>
    <mergeCell ref="N60:O60"/>
    <mergeCell ref="L60:M60"/>
    <mergeCell ref="AB61:AC61"/>
    <mergeCell ref="A92:F93"/>
    <mergeCell ref="G92:U93"/>
    <mergeCell ref="S60:T60"/>
    <mergeCell ref="A64:F64"/>
    <mergeCell ref="L61:M61"/>
    <mergeCell ref="P61:Q61"/>
    <mergeCell ref="W77:Y77"/>
    <mergeCell ref="AE61:AI61"/>
    <mergeCell ref="A60:B60"/>
    <mergeCell ref="W84:Y84"/>
    <mergeCell ref="W87:Y87"/>
    <mergeCell ref="W82:Y82"/>
    <mergeCell ref="W80:Y80"/>
    <mergeCell ref="AE60:AI60"/>
    <mergeCell ref="A67:F67"/>
    <mergeCell ref="N61:O61"/>
    <mergeCell ref="G63:R63"/>
    <mergeCell ref="G64:R64"/>
    <mergeCell ref="AF64:AI64"/>
    <mergeCell ref="P60:Q60"/>
    <mergeCell ref="G67:R67"/>
    <mergeCell ref="E87:T87"/>
    <mergeCell ref="A69:E69"/>
    <mergeCell ref="AH83:AI83"/>
  </mergeCells>
  <phoneticPr fontId="2"/>
  <dataValidations count="7">
    <dataValidation type="list" allowBlank="1" showInputMessage="1" showErrorMessage="1" sqref="AJ61:AP61 AP63:AP64 AJ64 AJ63:AO63" xr:uid="{00000000-0002-0000-0400-000000000000}">
      <formula1>REF</formula1>
    </dataValidation>
    <dataValidation type="list" allowBlank="1" showInputMessage="1" showErrorMessage="1" sqref="AC7:AC28 AC32:AC53" xr:uid="{00000000-0002-0000-0400-000001000000}">
      <formula1>GS</formula1>
    </dataValidation>
    <dataValidation type="list" allowBlank="1" showInputMessage="1" showErrorMessage="1" sqref="AT7:AT28 AT32:AT53" xr:uid="{00000000-0002-0000-0400-000002000000}">
      <formula1>MIN</formula1>
    </dataValidation>
    <dataValidation type="list" allowBlank="1" showInputMessage="1" showErrorMessage="1" sqref="AY56:AZ67 AF7:AF27 AF32:AF52" xr:uid="{00000000-0002-0000-0400-000003000000}">
      <formula1>gka</formula1>
    </dataValidation>
    <dataValidation type="list" allowBlank="1" showInputMessage="1" showErrorMessage="1" sqref="BA56:BB67 AG7:AG27 AG32:AG52" xr:uid="{00000000-0002-0000-0400-000004000000}">
      <formula1>gkb</formula1>
    </dataValidation>
    <dataValidation type="list" allowBlank="1" showInputMessage="1" showErrorMessage="1" sqref="AU7:AX28 AU32:AX53" xr:uid="{00000000-0002-0000-0400-000005000000}">
      <formula1>PENALTY</formula1>
    </dataValidation>
    <dataValidation type="list" allowBlank="1" showInputMessage="1" showErrorMessage="1" sqref="BD2" xr:uid="{00000000-0002-0000-0400-000006000000}">
      <formula1>Ptime</formula1>
    </dataValidation>
  </dataValidations>
  <printOptions horizontalCentered="1" verticalCentered="1"/>
  <pageMargins left="0" right="0" top="0.19685039370078741" bottom="0" header="0" footer="0.35433070866141736"/>
  <pageSetup paperSize="9" orientation="portrait" r:id="rId1"/>
  <headerFooter alignWithMargins="0"/>
  <ignoredErrors>
    <ignoredError sqref="AI56 AO56 W1" numberStoredAsText="1"/>
    <ignoredError sqref="AY7:AZ28 AY32:AZ53" unlockedFormula="1"/>
  </ignoredErrors>
  <drawing r:id="rId2"/>
  <legacyDrawing r:id="rId3"/>
  <controls>
    <mc:AlternateContent xmlns:mc="http://schemas.openxmlformats.org/markup-compatibility/2006">
      <mc:Choice Requires="x14">
        <control shapeId="3115" r:id="rId4" name="CommandButton1">
          <controlPr print="0" autoLine="0" r:id="rId5">
            <anchor moveWithCells="1">
              <from>
                <xdr:col>32</xdr:col>
                <xdr:colOff>7620</xdr:colOff>
                <xdr:row>45</xdr:row>
                <xdr:rowOff>76200</xdr:rowOff>
              </from>
              <to>
                <xdr:col>42</xdr:col>
                <xdr:colOff>15240</xdr:colOff>
                <xdr:row>47</xdr:row>
                <xdr:rowOff>60960</xdr:rowOff>
              </to>
            </anchor>
          </controlPr>
        </control>
      </mc:Choice>
      <mc:Fallback>
        <control shapeId="311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7000000}">
          <x14:formula1>
            <xm:f>List!$C$34:$C$35</xm:f>
          </x14:formula1>
          <xm:sqref>C2:S2</xm:sqref>
        </x14:dataValidation>
        <x14:dataValidation type="list" allowBlank="1" showInputMessage="1" showErrorMessage="1" xr:uid="{00000000-0002-0000-0400-000008000000}">
          <x14:formula1>
            <xm:f>List!$C$3:$C$5</xm:f>
          </x14:formula1>
          <xm:sqref>W2:AD2</xm:sqref>
        </x14:dataValidation>
        <x14:dataValidation type="list" allowBlank="1" showInputMessage="1" showErrorMessage="1" xr:uid="{00000000-0002-0000-0400-000009000000}">
          <x14:formula1>
            <xm:f>List!$C$21:$C$27</xm:f>
          </x14:formula1>
          <xm:sqref>AO2:AQ2</xm:sqref>
        </x14:dataValidation>
        <x14:dataValidation type="list" allowBlank="1" showInputMessage="1" showErrorMessage="1" xr:uid="{00000000-0002-0000-0400-00000A000000}">
          <x14:formula1>
            <xm:f>List!$L$2:$L$41</xm:f>
          </x14:formula1>
          <xm:sqref>G29:U30 G4:U5 G65:R65</xm:sqref>
        </x14:dataValidation>
        <x14:dataValidation type="list" allowBlank="1" showInputMessage="1" showErrorMessage="1" xr:uid="{00000000-0002-0000-0400-00000C000000}">
          <x14:formula1>
            <xm:f>List!$B$2:$B$135</xm:f>
          </x14:formula1>
          <xm:sqref>BA2:BB2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71"/>
  <sheetViews>
    <sheetView workbookViewId="0">
      <selection sqref="A1:V1"/>
    </sheetView>
  </sheetViews>
  <sheetFormatPr defaultColWidth="9" defaultRowHeight="9.6" x14ac:dyDescent="0.2"/>
  <cols>
    <col min="1" max="1" width="2.109375" style="1" customWidth="1"/>
    <col min="2" max="2" width="1.6640625" style="1" customWidth="1"/>
    <col min="3" max="3" width="2.109375" style="1" customWidth="1"/>
    <col min="4" max="4" width="0.88671875" style="1" customWidth="1"/>
    <col min="5" max="6" width="2.109375" style="1" customWidth="1"/>
    <col min="7" max="7" width="0.88671875" style="1" customWidth="1"/>
    <col min="8" max="9" width="2.109375" style="1" customWidth="1"/>
    <col min="10" max="10" width="0.88671875" style="1" customWidth="1"/>
    <col min="11" max="11" width="2.109375" style="1" customWidth="1"/>
    <col min="12" max="13" width="0.88671875" style="1" customWidth="1"/>
    <col min="14" max="15" width="0.44140625" style="1" customWidth="1"/>
    <col min="16" max="17" width="0.88671875" style="1" customWidth="1"/>
    <col min="18" max="18" width="1.88671875" style="1" customWidth="1"/>
    <col min="19" max="20" width="0.44140625" style="1" customWidth="1"/>
    <col min="21" max="21" width="1.88671875" style="1" customWidth="1"/>
    <col min="22" max="54" width="2.109375" style="1" customWidth="1"/>
    <col min="55" max="16384" width="9" style="1"/>
  </cols>
  <sheetData>
    <row r="1" spans="1:54" ht="27" customHeight="1" x14ac:dyDescent="0.2">
      <c r="A1" s="975" t="s">
        <v>87</v>
      </c>
      <c r="B1" s="975"/>
      <c r="C1" s="975"/>
      <c r="D1" s="975"/>
      <c r="E1" s="975"/>
      <c r="F1" s="975"/>
      <c r="G1" s="975"/>
      <c r="H1" s="975"/>
      <c r="I1" s="975"/>
      <c r="J1" s="975"/>
      <c r="K1" s="975"/>
      <c r="L1" s="975"/>
      <c r="M1" s="975"/>
      <c r="N1" s="975"/>
      <c r="O1" s="975"/>
      <c r="P1" s="975"/>
      <c r="Q1" s="975"/>
      <c r="R1" s="975"/>
      <c r="S1" s="975"/>
      <c r="T1" s="975"/>
      <c r="U1" s="975"/>
      <c r="V1" s="975"/>
      <c r="W1" s="12"/>
      <c r="X1" s="12"/>
      <c r="Y1" s="976" t="s">
        <v>89</v>
      </c>
      <c r="Z1" s="976"/>
      <c r="AA1" s="976"/>
      <c r="AB1" s="976"/>
      <c r="AC1" s="976"/>
      <c r="AD1" s="976"/>
      <c r="AE1" s="976"/>
      <c r="AF1" s="976"/>
      <c r="AG1" s="976"/>
      <c r="AH1" s="976"/>
      <c r="AI1" s="976"/>
      <c r="AJ1" s="976"/>
      <c r="AK1" s="976"/>
      <c r="AL1" s="976"/>
      <c r="AM1" s="976"/>
      <c r="AN1" s="976"/>
      <c r="AO1" s="976"/>
      <c r="AP1" s="13"/>
      <c r="AQ1" s="13"/>
      <c r="AR1" s="13"/>
      <c r="AS1" s="12"/>
      <c r="AT1" s="12"/>
      <c r="AU1" s="12"/>
      <c r="AV1" s="12"/>
      <c r="AW1" s="14"/>
      <c r="AX1" s="12"/>
      <c r="AY1" s="12"/>
      <c r="AZ1" s="15" t="s">
        <v>90</v>
      </c>
      <c r="BA1" s="15"/>
      <c r="BB1" s="15"/>
    </row>
    <row r="2" spans="1:54" s="2" customFormat="1" ht="14.25" customHeight="1" x14ac:dyDescent="0.25">
      <c r="A2" s="564" t="s">
        <v>91</v>
      </c>
      <c r="B2" s="600"/>
      <c r="C2" s="470" t="str">
        <f>IF(GameSheet!C2="","",GameSheet!C2)</f>
        <v>第73回神奈川県アイスホッケー選手権</v>
      </c>
      <c r="D2" s="404"/>
      <c r="E2" s="977"/>
      <c r="F2" s="977"/>
      <c r="G2" s="977"/>
      <c r="H2" s="977"/>
      <c r="I2" s="977"/>
      <c r="J2" s="977"/>
      <c r="K2" s="977"/>
      <c r="L2" s="977"/>
      <c r="M2" s="977"/>
      <c r="N2" s="977"/>
      <c r="O2" s="977"/>
      <c r="P2" s="977"/>
      <c r="Q2" s="977"/>
      <c r="R2" s="977"/>
      <c r="S2" s="978"/>
      <c r="T2" s="968" t="s">
        <v>93</v>
      </c>
      <c r="U2" s="979"/>
      <c r="V2" s="980"/>
      <c r="W2" s="981" t="str">
        <f>IF(GameSheet!W2="","",GameSheet!W2)</f>
        <v>横浜銀行アイスアリーナ</v>
      </c>
      <c r="X2" s="920"/>
      <c r="Y2" s="920"/>
      <c r="Z2" s="920"/>
      <c r="AA2" s="920"/>
      <c r="AB2" s="920"/>
      <c r="AC2" s="920"/>
      <c r="AD2" s="982"/>
      <c r="AE2" s="968" t="s">
        <v>95</v>
      </c>
      <c r="AF2" s="972"/>
      <c r="AG2" s="966">
        <f>IF(GameSheet!AG2="","",GameSheet!AG2)</f>
        <v>46271</v>
      </c>
      <c r="AH2" s="424"/>
      <c r="AI2" s="424"/>
      <c r="AJ2" s="424"/>
      <c r="AK2" s="424"/>
      <c r="AL2" s="606"/>
      <c r="AM2" s="968" t="s">
        <v>96</v>
      </c>
      <c r="AN2" s="946"/>
      <c r="AO2" s="926" t="str">
        <f>IF(GameSheet!AO2="","",GameSheet!AO2)</f>
        <v/>
      </c>
      <c r="AP2" s="927"/>
      <c r="AQ2" s="928"/>
      <c r="AR2" s="967" t="s">
        <v>97</v>
      </c>
      <c r="AS2" s="573"/>
      <c r="AT2" s="574"/>
      <c r="AU2" s="605" t="str">
        <f>IF(GameSheet!AU2="","",GameSheet!AU2)</f>
        <v>-</v>
      </c>
      <c r="AV2" s="424"/>
      <c r="AW2" s="606"/>
      <c r="AX2" s="968" t="s">
        <v>99</v>
      </c>
      <c r="AY2" s="967"/>
      <c r="AZ2" s="972"/>
      <c r="BA2" s="973" t="str">
        <f>IF(GameSheet!BA2="","",GameSheet!BA2)</f>
        <v/>
      </c>
      <c r="BB2" s="974"/>
    </row>
    <row r="3" spans="1:54" ht="5.25" customHeight="1" x14ac:dyDescent="0.2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</row>
    <row r="4" spans="1:54" ht="11.1" customHeight="1" x14ac:dyDescent="0.2">
      <c r="A4" s="452" t="s">
        <v>101</v>
      </c>
      <c r="B4" s="453"/>
      <c r="C4" s="453"/>
      <c r="D4" s="453"/>
      <c r="E4" s="453"/>
      <c r="F4" s="700"/>
      <c r="G4" s="394" t="str">
        <f>IF(GameSheet!G4="","",GameSheet!G4)</f>
        <v>S Blitz</v>
      </c>
      <c r="H4" s="395"/>
      <c r="I4" s="395"/>
      <c r="J4" s="395"/>
      <c r="K4" s="395"/>
      <c r="L4" s="395"/>
      <c r="M4" s="395"/>
      <c r="N4" s="395"/>
      <c r="O4" s="395"/>
      <c r="P4" s="395"/>
      <c r="Q4" s="395"/>
      <c r="R4" s="395"/>
      <c r="S4" s="395"/>
      <c r="T4" s="395"/>
      <c r="U4" s="396"/>
      <c r="V4" s="452" t="s">
        <v>102</v>
      </c>
      <c r="W4" s="453"/>
      <c r="X4" s="453"/>
      <c r="Y4" s="453"/>
      <c r="Z4" s="453"/>
      <c r="AA4" s="453"/>
      <c r="AB4" s="453"/>
      <c r="AC4" s="453"/>
      <c r="AD4" s="456" t="s">
        <v>103</v>
      </c>
      <c r="AE4" s="457"/>
      <c r="AF4" s="457"/>
      <c r="AG4" s="457"/>
      <c r="AH4" s="457"/>
      <c r="AI4" s="458"/>
      <c r="AJ4" s="621"/>
      <c r="AK4" s="622"/>
      <c r="AL4" s="622"/>
      <c r="AM4" s="622"/>
      <c r="AN4" s="622"/>
      <c r="AO4" s="623"/>
      <c r="AP4" s="452" t="s">
        <v>104</v>
      </c>
      <c r="AQ4" s="453"/>
      <c r="AR4" s="453"/>
      <c r="AS4" s="453"/>
      <c r="AT4" s="453"/>
      <c r="AU4" s="453"/>
      <c r="AV4" s="453"/>
      <c r="AW4" s="453"/>
      <c r="AX4" s="453"/>
      <c r="AY4" s="453"/>
      <c r="AZ4" s="453"/>
      <c r="BA4" s="453"/>
      <c r="BB4" s="651"/>
    </row>
    <row r="5" spans="1:54" ht="11.1" customHeight="1" x14ac:dyDescent="0.2">
      <c r="A5" s="701"/>
      <c r="B5" s="652"/>
      <c r="C5" s="652"/>
      <c r="D5" s="652"/>
      <c r="E5" s="652"/>
      <c r="F5" s="702"/>
      <c r="G5" s="397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9"/>
      <c r="V5" s="454"/>
      <c r="W5" s="455"/>
      <c r="X5" s="455"/>
      <c r="Y5" s="455"/>
      <c r="Z5" s="455"/>
      <c r="AA5" s="455"/>
      <c r="AB5" s="455"/>
      <c r="AC5" s="455"/>
      <c r="AD5" s="459"/>
      <c r="AE5" s="460"/>
      <c r="AF5" s="460"/>
      <c r="AG5" s="460"/>
      <c r="AH5" s="460"/>
      <c r="AI5" s="461"/>
      <c r="AJ5" s="624"/>
      <c r="AK5" s="625"/>
      <c r="AL5" s="625"/>
      <c r="AM5" s="625"/>
      <c r="AN5" s="625"/>
      <c r="AO5" s="626"/>
      <c r="AP5" s="969"/>
      <c r="AQ5" s="970"/>
      <c r="AR5" s="970"/>
      <c r="AS5" s="970"/>
      <c r="AT5" s="970"/>
      <c r="AU5" s="970"/>
      <c r="AV5" s="970"/>
      <c r="AW5" s="970"/>
      <c r="AX5" s="970"/>
      <c r="AY5" s="970"/>
      <c r="AZ5" s="970"/>
      <c r="BA5" s="970"/>
      <c r="BB5" s="971"/>
    </row>
    <row r="6" spans="1:54" s="3" customFormat="1" ht="12.6" customHeight="1" x14ac:dyDescent="0.2">
      <c r="A6" s="382" t="s">
        <v>17</v>
      </c>
      <c r="B6" s="527" t="s">
        <v>105</v>
      </c>
      <c r="C6" s="528"/>
      <c r="D6" s="528"/>
      <c r="E6" s="528"/>
      <c r="F6" s="528"/>
      <c r="G6" s="528"/>
      <c r="H6" s="528"/>
      <c r="I6" s="528"/>
      <c r="J6" s="528"/>
      <c r="K6" s="528"/>
      <c r="L6" s="528"/>
      <c r="M6" s="528"/>
      <c r="N6" s="528"/>
      <c r="O6" s="416" t="s">
        <v>106</v>
      </c>
      <c r="P6" s="416"/>
      <c r="Q6" s="416"/>
      <c r="R6" s="416"/>
      <c r="S6" s="417"/>
      <c r="T6" s="503" t="s">
        <v>107</v>
      </c>
      <c r="U6" s="620"/>
      <c r="V6" s="382" t="s">
        <v>108</v>
      </c>
      <c r="W6" s="503" t="s">
        <v>109</v>
      </c>
      <c r="X6" s="503"/>
      <c r="Y6" s="503"/>
      <c r="Z6" s="373" t="s">
        <v>110</v>
      </c>
      <c r="AA6" s="373" t="s">
        <v>111</v>
      </c>
      <c r="AB6" s="373" t="s">
        <v>112</v>
      </c>
      <c r="AC6" s="368" t="s">
        <v>113</v>
      </c>
      <c r="AD6" s="382" t="s">
        <v>114</v>
      </c>
      <c r="AE6" s="373" t="s">
        <v>115</v>
      </c>
      <c r="AF6" s="38" t="s">
        <v>116</v>
      </c>
      <c r="AG6" s="38" t="s">
        <v>117</v>
      </c>
      <c r="AH6" s="445" t="s">
        <v>118</v>
      </c>
      <c r="AI6" s="446"/>
      <c r="AJ6" s="624"/>
      <c r="AK6" s="625"/>
      <c r="AL6" s="625"/>
      <c r="AM6" s="625"/>
      <c r="AN6" s="625"/>
      <c r="AO6" s="626"/>
      <c r="AP6" s="417" t="s">
        <v>109</v>
      </c>
      <c r="AQ6" s="503"/>
      <c r="AR6" s="503"/>
      <c r="AS6" s="373" t="s">
        <v>119</v>
      </c>
      <c r="AT6" s="373" t="s">
        <v>18</v>
      </c>
      <c r="AU6" s="503" t="s">
        <v>120</v>
      </c>
      <c r="AV6" s="503"/>
      <c r="AW6" s="503"/>
      <c r="AX6" s="503"/>
      <c r="AY6" s="503" t="s">
        <v>20</v>
      </c>
      <c r="AZ6" s="503"/>
      <c r="BA6" s="503" t="s">
        <v>121</v>
      </c>
      <c r="BB6" s="592"/>
    </row>
    <row r="7" spans="1:54" s="2" customFormat="1" ht="12.6" customHeight="1" x14ac:dyDescent="0.2">
      <c r="A7" s="11">
        <f>IF(TeamA!C4="","",TeamA!C4)</f>
        <v>0</v>
      </c>
      <c r="B7" s="490" t="str">
        <f>IF(TeamA!D4="","",TeamA!D4)</f>
        <v>V   岡部　直樹</v>
      </c>
      <c r="C7" s="491"/>
      <c r="D7" s="491"/>
      <c r="E7" s="491"/>
      <c r="F7" s="491"/>
      <c r="G7" s="491"/>
      <c r="H7" s="491"/>
      <c r="I7" s="491"/>
      <c r="J7" s="491"/>
      <c r="K7" s="491"/>
      <c r="L7" s="491"/>
      <c r="M7" s="491"/>
      <c r="N7" s="491"/>
      <c r="O7" s="533" t="str">
        <f>IF(TeamA!E4="","",TeamA!E4)</f>
        <v/>
      </c>
      <c r="P7" s="533"/>
      <c r="Q7" s="533"/>
      <c r="R7" s="533"/>
      <c r="S7" s="481"/>
      <c r="T7" s="964" t="str">
        <f>IF(TeamA!F4="","",TeamA!F4)</f>
        <v>G</v>
      </c>
      <c r="U7" s="965"/>
      <c r="V7" s="11"/>
      <c r="W7" s="406"/>
      <c r="X7" s="406"/>
      <c r="Y7" s="407"/>
      <c r="Z7" s="379"/>
      <c r="AA7" s="379"/>
      <c r="AB7" s="379"/>
      <c r="AC7" s="114"/>
      <c r="AD7" s="11"/>
      <c r="AE7" s="379"/>
      <c r="AF7" s="379"/>
      <c r="AG7" s="379"/>
      <c r="AH7" s="462"/>
      <c r="AI7" s="463"/>
      <c r="AJ7" s="624"/>
      <c r="AK7" s="625"/>
      <c r="AL7" s="625"/>
      <c r="AM7" s="625"/>
      <c r="AN7" s="625"/>
      <c r="AO7" s="626"/>
      <c r="AP7" s="406"/>
      <c r="AQ7" s="406"/>
      <c r="AR7" s="407"/>
      <c r="AS7" s="116"/>
      <c r="AT7" s="379"/>
      <c r="AU7" s="963"/>
      <c r="AV7" s="963"/>
      <c r="AW7" s="963"/>
      <c r="AX7" s="963"/>
      <c r="AY7" s="634" t="str">
        <f>IF(AP7="","",AP7)</f>
        <v/>
      </c>
      <c r="AZ7" s="407"/>
      <c r="BA7" s="634"/>
      <c r="BB7" s="958"/>
    </row>
    <row r="8" spans="1:54" s="2" customFormat="1" ht="12.6" customHeight="1" x14ac:dyDescent="0.2">
      <c r="A8" s="28">
        <f>IF(TeamA!C5="","",TeamA!C5)</f>
        <v>0</v>
      </c>
      <c r="B8" s="569" t="str">
        <f>IF(TeamA!D5="","",TeamA!D5)</f>
        <v>V   渡邊　周</v>
      </c>
      <c r="C8" s="570"/>
      <c r="D8" s="570"/>
      <c r="E8" s="570"/>
      <c r="F8" s="570"/>
      <c r="G8" s="570"/>
      <c r="H8" s="570"/>
      <c r="I8" s="570"/>
      <c r="J8" s="570"/>
      <c r="K8" s="570"/>
      <c r="L8" s="570"/>
      <c r="M8" s="570"/>
      <c r="N8" s="570"/>
      <c r="O8" s="580" t="str">
        <f>IF(TeamA!E5="","",TeamA!E5)</f>
        <v/>
      </c>
      <c r="P8" s="580"/>
      <c r="Q8" s="487"/>
      <c r="R8" s="526"/>
      <c r="S8" s="580"/>
      <c r="T8" s="586" t="str">
        <f>IF(TeamA!F5="","",TeamA!F5)</f>
        <v>G</v>
      </c>
      <c r="U8" s="586"/>
      <c r="V8" s="6"/>
      <c r="W8" s="406"/>
      <c r="X8" s="406"/>
      <c r="Y8" s="407"/>
      <c r="Z8" s="4"/>
      <c r="AA8" s="4"/>
      <c r="AB8" s="4"/>
      <c r="AC8" s="114"/>
      <c r="AD8" s="6"/>
      <c r="AE8" s="4"/>
      <c r="AF8" s="4"/>
      <c r="AG8" s="4"/>
      <c r="AH8" s="450"/>
      <c r="AI8" s="451"/>
      <c r="AJ8" s="624"/>
      <c r="AK8" s="625"/>
      <c r="AL8" s="625"/>
      <c r="AM8" s="625"/>
      <c r="AN8" s="625"/>
      <c r="AO8" s="626"/>
      <c r="AP8" s="406"/>
      <c r="AQ8" s="406"/>
      <c r="AR8" s="407"/>
      <c r="AS8" s="117"/>
      <c r="AT8" s="4"/>
      <c r="AU8" s="957"/>
      <c r="AV8" s="957"/>
      <c r="AW8" s="957"/>
      <c r="AX8" s="957"/>
      <c r="AY8" s="634" t="str">
        <f>IF(AP8="","",AP8)</f>
        <v/>
      </c>
      <c r="AZ8" s="407"/>
      <c r="BA8" s="634"/>
      <c r="BB8" s="958"/>
    </row>
    <row r="9" spans="1:54" s="2" customFormat="1" ht="12.6" customHeight="1" x14ac:dyDescent="0.2">
      <c r="A9" s="29">
        <f>IF(TeamA!C6="","",TeamA!C6)</f>
        <v>0</v>
      </c>
      <c r="B9" s="490" t="str">
        <f>IF(TeamA!D6="","",TeamA!D6)</f>
        <v xml:space="preserve">      Ｈｅｒｍｅｎｉｕｓ　Ｈａｎｓ</v>
      </c>
      <c r="C9" s="491"/>
      <c r="D9" s="491"/>
      <c r="E9" s="491"/>
      <c r="F9" s="491"/>
      <c r="G9" s="491"/>
      <c r="H9" s="491"/>
      <c r="I9" s="491"/>
      <c r="J9" s="491"/>
      <c r="K9" s="491"/>
      <c r="L9" s="491"/>
      <c r="M9" s="491"/>
      <c r="N9" s="491"/>
      <c r="O9" s="481" t="str">
        <f>IF(TeamA!E6="","",TeamA!E6)</f>
        <v/>
      </c>
      <c r="P9" s="481"/>
      <c r="Q9" s="584"/>
      <c r="R9" s="481"/>
      <c r="S9" s="481"/>
      <c r="T9" s="493">
        <f>IF(TeamA!F6="","",TeamA!F6)</f>
        <v>0</v>
      </c>
      <c r="U9" s="494"/>
      <c r="V9" s="6"/>
      <c r="W9" s="406"/>
      <c r="X9" s="406"/>
      <c r="Y9" s="407"/>
      <c r="Z9" s="4"/>
      <c r="AA9" s="4"/>
      <c r="AB9" s="4"/>
      <c r="AC9" s="114"/>
      <c r="AD9" s="6"/>
      <c r="AE9" s="4"/>
      <c r="AF9" s="4"/>
      <c r="AG9" s="4"/>
      <c r="AH9" s="450"/>
      <c r="AI9" s="451"/>
      <c r="AJ9" s="624"/>
      <c r="AK9" s="625"/>
      <c r="AL9" s="625"/>
      <c r="AM9" s="625"/>
      <c r="AN9" s="625"/>
      <c r="AO9" s="626"/>
      <c r="AP9" s="406"/>
      <c r="AQ9" s="406"/>
      <c r="AR9" s="407"/>
      <c r="AS9" s="117"/>
      <c r="AT9" s="4"/>
      <c r="AU9" s="957"/>
      <c r="AV9" s="957"/>
      <c r="AW9" s="957"/>
      <c r="AX9" s="957"/>
      <c r="AY9" s="634" t="str">
        <f t="shared" ref="AY9:AY28" si="0">IF(AP9="","",AP9)</f>
        <v/>
      </c>
      <c r="AZ9" s="407"/>
      <c r="BA9" s="634"/>
      <c r="BB9" s="958"/>
    </row>
    <row r="10" spans="1:54" s="2" customFormat="1" ht="12.6" customHeight="1" x14ac:dyDescent="0.2">
      <c r="A10" s="6">
        <f>IF(TeamA!C7="","",TeamA!C7)</f>
        <v>0</v>
      </c>
      <c r="B10" s="501" t="str">
        <f>IF(TeamA!D7="","",TeamA!D7)</f>
        <v xml:space="preserve">      村石　和実</v>
      </c>
      <c r="C10" s="502"/>
      <c r="D10" s="502"/>
      <c r="E10" s="502"/>
      <c r="F10" s="502"/>
      <c r="G10" s="502"/>
      <c r="H10" s="502"/>
      <c r="I10" s="502"/>
      <c r="J10" s="502"/>
      <c r="K10" s="502"/>
      <c r="L10" s="502"/>
      <c r="M10" s="502"/>
      <c r="N10" s="502"/>
      <c r="O10" s="495" t="str">
        <f>IF(TeamA!E7="","",TeamA!E7)</f>
        <v/>
      </c>
      <c r="P10" s="495"/>
      <c r="Q10" s="496"/>
      <c r="R10" s="495"/>
      <c r="S10" s="495"/>
      <c r="T10" s="474">
        <f>IF(TeamA!F7="","",TeamA!F7)</f>
        <v>0</v>
      </c>
      <c r="U10" s="475"/>
      <c r="V10" s="6"/>
      <c r="W10" s="406"/>
      <c r="X10" s="406"/>
      <c r="Y10" s="407"/>
      <c r="Z10" s="4"/>
      <c r="AA10" s="4"/>
      <c r="AB10" s="4"/>
      <c r="AC10" s="114"/>
      <c r="AD10" s="6"/>
      <c r="AE10" s="4"/>
      <c r="AF10" s="4"/>
      <c r="AG10" s="4"/>
      <c r="AH10" s="450"/>
      <c r="AI10" s="451"/>
      <c r="AJ10" s="624"/>
      <c r="AK10" s="625"/>
      <c r="AL10" s="625"/>
      <c r="AM10" s="625"/>
      <c r="AN10" s="625"/>
      <c r="AO10" s="626"/>
      <c r="AP10" s="406"/>
      <c r="AQ10" s="406"/>
      <c r="AR10" s="407"/>
      <c r="AS10" s="117"/>
      <c r="AT10" s="4"/>
      <c r="AU10" s="957"/>
      <c r="AV10" s="957"/>
      <c r="AW10" s="957"/>
      <c r="AX10" s="957"/>
      <c r="AY10" s="634" t="str">
        <f t="shared" si="0"/>
        <v/>
      </c>
      <c r="AZ10" s="407"/>
      <c r="BA10" s="634"/>
      <c r="BB10" s="958"/>
    </row>
    <row r="11" spans="1:54" s="2" customFormat="1" ht="12.6" customHeight="1" x14ac:dyDescent="0.2">
      <c r="A11" s="6">
        <f>IF(TeamA!C8="","",TeamA!C8)</f>
        <v>0</v>
      </c>
      <c r="B11" s="501" t="str">
        <f>IF(TeamA!D8="","",TeamA!D8)</f>
        <v xml:space="preserve">      田中　伸史</v>
      </c>
      <c r="C11" s="502"/>
      <c r="D11" s="502"/>
      <c r="E11" s="502"/>
      <c r="F11" s="502"/>
      <c r="G11" s="502"/>
      <c r="H11" s="502"/>
      <c r="I11" s="502"/>
      <c r="J11" s="502"/>
      <c r="K11" s="502"/>
      <c r="L11" s="502"/>
      <c r="M11" s="502"/>
      <c r="N11" s="502"/>
      <c r="O11" s="495" t="str">
        <f>IF(TeamA!E8="","",TeamA!E8)</f>
        <v/>
      </c>
      <c r="P11" s="495"/>
      <c r="Q11" s="496"/>
      <c r="R11" s="495"/>
      <c r="S11" s="495"/>
      <c r="T11" s="474">
        <f>IF(TeamA!F8="","",TeamA!F8)</f>
        <v>0</v>
      </c>
      <c r="U11" s="475"/>
      <c r="V11" s="30"/>
      <c r="W11" s="406"/>
      <c r="X11" s="406"/>
      <c r="Y11" s="407"/>
      <c r="Z11" s="4"/>
      <c r="AA11" s="4"/>
      <c r="AB11" s="4"/>
      <c r="AC11" s="114"/>
      <c r="AD11" s="6"/>
      <c r="AE11" s="4"/>
      <c r="AF11" s="4"/>
      <c r="AG11" s="4"/>
      <c r="AH11" s="450"/>
      <c r="AI11" s="451"/>
      <c r="AJ11" s="624"/>
      <c r="AK11" s="625"/>
      <c r="AL11" s="625"/>
      <c r="AM11" s="625"/>
      <c r="AN11" s="625"/>
      <c r="AO11" s="626"/>
      <c r="AP11" s="406"/>
      <c r="AQ11" s="406"/>
      <c r="AR11" s="407"/>
      <c r="AS11" s="117"/>
      <c r="AT11" s="4"/>
      <c r="AU11" s="957"/>
      <c r="AV11" s="957"/>
      <c r="AW11" s="957"/>
      <c r="AX11" s="957"/>
      <c r="AY11" s="634" t="str">
        <f t="shared" si="0"/>
        <v/>
      </c>
      <c r="AZ11" s="407"/>
      <c r="BA11" s="634"/>
      <c r="BB11" s="958"/>
    </row>
    <row r="12" spans="1:54" s="2" customFormat="1" ht="12.6" customHeight="1" x14ac:dyDescent="0.2">
      <c r="A12" s="6">
        <f>IF(TeamA!C9="","",TeamA!C9)</f>
        <v>0</v>
      </c>
      <c r="B12" s="501" t="str">
        <f>IF(TeamA!D9="","",TeamA!D9)</f>
        <v xml:space="preserve">      持山　剛</v>
      </c>
      <c r="C12" s="502"/>
      <c r="D12" s="502"/>
      <c r="E12" s="502"/>
      <c r="F12" s="502"/>
      <c r="G12" s="502"/>
      <c r="H12" s="502"/>
      <c r="I12" s="502"/>
      <c r="J12" s="502"/>
      <c r="K12" s="502"/>
      <c r="L12" s="502"/>
      <c r="M12" s="502"/>
      <c r="N12" s="502"/>
      <c r="O12" s="495" t="str">
        <f>IF(TeamA!E9="","",TeamA!E9)</f>
        <v/>
      </c>
      <c r="P12" s="495"/>
      <c r="Q12" s="496"/>
      <c r="R12" s="495"/>
      <c r="S12" s="496"/>
      <c r="T12" s="474">
        <f>IF(TeamA!F9="","",TeamA!F9)</f>
        <v>0</v>
      </c>
      <c r="U12" s="585"/>
      <c r="V12" s="30"/>
      <c r="W12" s="406"/>
      <c r="X12" s="406"/>
      <c r="Y12" s="407"/>
      <c r="Z12" s="4"/>
      <c r="AA12" s="4"/>
      <c r="AB12" s="4"/>
      <c r="AC12" s="114"/>
      <c r="AD12" s="6"/>
      <c r="AE12" s="4"/>
      <c r="AF12" s="4"/>
      <c r="AG12" s="4"/>
      <c r="AH12" s="450"/>
      <c r="AI12" s="451"/>
      <c r="AJ12" s="624"/>
      <c r="AK12" s="625"/>
      <c r="AL12" s="625"/>
      <c r="AM12" s="625"/>
      <c r="AN12" s="625"/>
      <c r="AO12" s="626"/>
      <c r="AP12" s="406"/>
      <c r="AQ12" s="406"/>
      <c r="AR12" s="407"/>
      <c r="AS12" s="117"/>
      <c r="AT12" s="4"/>
      <c r="AU12" s="957"/>
      <c r="AV12" s="957"/>
      <c r="AW12" s="957"/>
      <c r="AX12" s="957"/>
      <c r="AY12" s="634" t="str">
        <f t="shared" si="0"/>
        <v/>
      </c>
      <c r="AZ12" s="407"/>
      <c r="BA12" s="634"/>
      <c r="BB12" s="958"/>
    </row>
    <row r="13" spans="1:54" s="2" customFormat="1" ht="12.6" customHeight="1" x14ac:dyDescent="0.2">
      <c r="A13" s="31">
        <f>IF(TeamA!C10="","",TeamA!C10)</f>
        <v>0</v>
      </c>
      <c r="B13" s="569" t="str">
        <f>IF(TeamA!D10="","",TeamA!D10)</f>
        <v xml:space="preserve">      渡邊　誠</v>
      </c>
      <c r="C13" s="570"/>
      <c r="D13" s="570"/>
      <c r="E13" s="570"/>
      <c r="F13" s="570"/>
      <c r="G13" s="570"/>
      <c r="H13" s="570"/>
      <c r="I13" s="570"/>
      <c r="J13" s="570"/>
      <c r="K13" s="570"/>
      <c r="L13" s="570"/>
      <c r="M13" s="570"/>
      <c r="N13" s="570"/>
      <c r="O13" s="526" t="str">
        <f>IF(TeamA!E10="","",TeamA!E10)</f>
        <v/>
      </c>
      <c r="P13" s="526"/>
      <c r="Q13" s="487"/>
      <c r="R13" s="526"/>
      <c r="S13" s="487"/>
      <c r="T13" s="538">
        <f>IF(TeamA!F10="","",TeamA!F10)</f>
        <v>0</v>
      </c>
      <c r="U13" s="488"/>
      <c r="V13" s="30"/>
      <c r="W13" s="406"/>
      <c r="X13" s="406"/>
      <c r="Y13" s="407"/>
      <c r="Z13" s="4"/>
      <c r="AA13" s="4"/>
      <c r="AB13" s="4"/>
      <c r="AC13" s="114"/>
      <c r="AD13" s="6"/>
      <c r="AE13" s="4"/>
      <c r="AF13" s="4"/>
      <c r="AG13" s="4"/>
      <c r="AH13" s="450"/>
      <c r="AI13" s="451"/>
      <c r="AJ13" s="624"/>
      <c r="AK13" s="625"/>
      <c r="AL13" s="625"/>
      <c r="AM13" s="625"/>
      <c r="AN13" s="625"/>
      <c r="AO13" s="626"/>
      <c r="AP13" s="406"/>
      <c r="AQ13" s="406"/>
      <c r="AR13" s="407"/>
      <c r="AS13" s="117"/>
      <c r="AT13" s="4"/>
      <c r="AU13" s="957"/>
      <c r="AV13" s="957"/>
      <c r="AW13" s="957"/>
      <c r="AX13" s="957"/>
      <c r="AY13" s="634" t="str">
        <f t="shared" si="0"/>
        <v/>
      </c>
      <c r="AZ13" s="407"/>
      <c r="BA13" s="634"/>
      <c r="BB13" s="958"/>
    </row>
    <row r="14" spans="1:54" s="2" customFormat="1" ht="12.6" customHeight="1" x14ac:dyDescent="0.2">
      <c r="A14" s="11">
        <f>IF(TeamA!C11="","",TeamA!C11)</f>
        <v>0</v>
      </c>
      <c r="B14" s="490" t="str">
        <f>IF(TeamA!D11="","",TeamA!D11)</f>
        <v xml:space="preserve">      折目　啓伯</v>
      </c>
      <c r="C14" s="491"/>
      <c r="D14" s="491"/>
      <c r="E14" s="491"/>
      <c r="F14" s="491"/>
      <c r="G14" s="491"/>
      <c r="H14" s="491"/>
      <c r="I14" s="491"/>
      <c r="J14" s="491"/>
      <c r="K14" s="491"/>
      <c r="L14" s="491"/>
      <c r="M14" s="491"/>
      <c r="N14" s="491"/>
      <c r="O14" s="434" t="str">
        <f>IF(TeamA!E11="","",TeamA!E11)</f>
        <v/>
      </c>
      <c r="P14" s="434"/>
      <c r="Q14" s="492"/>
      <c r="R14" s="434"/>
      <c r="S14" s="492"/>
      <c r="T14" s="397">
        <f>IF(TeamA!F11="","",TeamA!F11)</f>
        <v>0</v>
      </c>
      <c r="U14" s="397"/>
      <c r="V14" s="30"/>
      <c r="W14" s="406"/>
      <c r="X14" s="406"/>
      <c r="Y14" s="407"/>
      <c r="Z14" s="4"/>
      <c r="AA14" s="4"/>
      <c r="AB14" s="4"/>
      <c r="AC14" s="114"/>
      <c r="AD14" s="6"/>
      <c r="AE14" s="4"/>
      <c r="AF14" s="4"/>
      <c r="AG14" s="4"/>
      <c r="AH14" s="450"/>
      <c r="AI14" s="451"/>
      <c r="AJ14" s="624"/>
      <c r="AK14" s="625"/>
      <c r="AL14" s="625"/>
      <c r="AM14" s="625"/>
      <c r="AN14" s="625"/>
      <c r="AO14" s="626"/>
      <c r="AP14" s="406"/>
      <c r="AQ14" s="406"/>
      <c r="AR14" s="407"/>
      <c r="AS14" s="117"/>
      <c r="AT14" s="4"/>
      <c r="AU14" s="957"/>
      <c r="AV14" s="957"/>
      <c r="AW14" s="957"/>
      <c r="AX14" s="957"/>
      <c r="AY14" s="634" t="str">
        <f t="shared" si="0"/>
        <v/>
      </c>
      <c r="AZ14" s="407"/>
      <c r="BA14" s="634"/>
      <c r="BB14" s="958"/>
    </row>
    <row r="15" spans="1:54" s="2" customFormat="1" ht="12.6" customHeight="1" x14ac:dyDescent="0.2">
      <c r="A15" s="6">
        <f>IF(TeamA!C12="","",TeamA!C12)</f>
        <v>0</v>
      </c>
      <c r="B15" s="501" t="str">
        <f>IF(TeamA!D12="","",TeamA!D12)</f>
        <v xml:space="preserve">      山本　秀彦</v>
      </c>
      <c r="C15" s="502"/>
      <c r="D15" s="502"/>
      <c r="E15" s="502"/>
      <c r="F15" s="502"/>
      <c r="G15" s="502"/>
      <c r="H15" s="502"/>
      <c r="I15" s="502"/>
      <c r="J15" s="502"/>
      <c r="K15" s="502"/>
      <c r="L15" s="502"/>
      <c r="M15" s="502"/>
      <c r="N15" s="502"/>
      <c r="O15" s="495" t="str">
        <f>IF(TeamA!E12="","",TeamA!E12)</f>
        <v/>
      </c>
      <c r="P15" s="495"/>
      <c r="Q15" s="496"/>
      <c r="R15" s="495"/>
      <c r="S15" s="496"/>
      <c r="T15" s="474">
        <f>IF(TeamA!F12="","",TeamA!F12)</f>
        <v>0</v>
      </c>
      <c r="U15" s="474"/>
      <c r="V15" s="30"/>
      <c r="W15" s="406"/>
      <c r="X15" s="406"/>
      <c r="Y15" s="407"/>
      <c r="Z15" s="4"/>
      <c r="AA15" s="4"/>
      <c r="AB15" s="4"/>
      <c r="AC15" s="114"/>
      <c r="AD15" s="6"/>
      <c r="AE15" s="4"/>
      <c r="AF15" s="4"/>
      <c r="AG15" s="4"/>
      <c r="AH15" s="450"/>
      <c r="AI15" s="451"/>
      <c r="AJ15" s="624"/>
      <c r="AK15" s="625"/>
      <c r="AL15" s="625"/>
      <c r="AM15" s="625"/>
      <c r="AN15" s="625"/>
      <c r="AO15" s="626"/>
      <c r="AP15" s="406"/>
      <c r="AQ15" s="406"/>
      <c r="AR15" s="407"/>
      <c r="AS15" s="118"/>
      <c r="AT15" s="4"/>
      <c r="AU15" s="957"/>
      <c r="AV15" s="957"/>
      <c r="AW15" s="957"/>
      <c r="AX15" s="957"/>
      <c r="AY15" s="634" t="str">
        <f t="shared" si="0"/>
        <v/>
      </c>
      <c r="AZ15" s="407"/>
      <c r="BA15" s="634"/>
      <c r="BB15" s="958"/>
    </row>
    <row r="16" spans="1:54" s="2" customFormat="1" ht="12.6" customHeight="1" x14ac:dyDescent="0.2">
      <c r="A16" s="6">
        <f>IF(TeamA!C13="","",TeamA!C13)</f>
        <v>0</v>
      </c>
      <c r="B16" s="501" t="str">
        <f>IF(TeamA!D13="","",TeamA!D13)</f>
        <v xml:space="preserve">      福谷　和久</v>
      </c>
      <c r="C16" s="502"/>
      <c r="D16" s="502"/>
      <c r="E16" s="502"/>
      <c r="F16" s="502"/>
      <c r="G16" s="502"/>
      <c r="H16" s="502"/>
      <c r="I16" s="502"/>
      <c r="J16" s="502"/>
      <c r="K16" s="502"/>
      <c r="L16" s="502"/>
      <c r="M16" s="502"/>
      <c r="N16" s="502"/>
      <c r="O16" s="495" t="str">
        <f>IF(TeamA!E13="","",TeamA!E13)</f>
        <v/>
      </c>
      <c r="P16" s="495"/>
      <c r="Q16" s="496"/>
      <c r="R16" s="495"/>
      <c r="S16" s="496"/>
      <c r="T16" s="474">
        <f>IF(TeamA!F13="","",TeamA!F13)</f>
        <v>0</v>
      </c>
      <c r="U16" s="474"/>
      <c r="V16" s="30"/>
      <c r="W16" s="406"/>
      <c r="X16" s="406"/>
      <c r="Y16" s="407"/>
      <c r="Z16" s="4"/>
      <c r="AA16" s="4"/>
      <c r="AB16" s="4"/>
      <c r="AC16" s="114"/>
      <c r="AD16" s="6"/>
      <c r="AE16" s="4"/>
      <c r="AF16" s="4"/>
      <c r="AG16" s="4"/>
      <c r="AH16" s="450"/>
      <c r="AI16" s="451"/>
      <c r="AJ16" s="624"/>
      <c r="AK16" s="625"/>
      <c r="AL16" s="625"/>
      <c r="AM16" s="625"/>
      <c r="AN16" s="625"/>
      <c r="AO16" s="626"/>
      <c r="AP16" s="406"/>
      <c r="AQ16" s="406"/>
      <c r="AR16" s="407"/>
      <c r="AS16" s="118"/>
      <c r="AT16" s="4"/>
      <c r="AU16" s="957"/>
      <c r="AV16" s="957"/>
      <c r="AW16" s="957"/>
      <c r="AX16" s="957"/>
      <c r="AY16" s="634" t="str">
        <f t="shared" si="0"/>
        <v/>
      </c>
      <c r="AZ16" s="407"/>
      <c r="BA16" s="634"/>
      <c r="BB16" s="958"/>
    </row>
    <row r="17" spans="1:54" s="2" customFormat="1" ht="12.6" customHeight="1" x14ac:dyDescent="0.2">
      <c r="A17" s="6">
        <f>IF(TeamA!C14="","",TeamA!C14)</f>
        <v>0</v>
      </c>
      <c r="B17" s="501" t="str">
        <f>IF(TeamA!D14="","",TeamA!D14)</f>
        <v>V   岸井　貴志</v>
      </c>
      <c r="C17" s="502"/>
      <c r="D17" s="502"/>
      <c r="E17" s="502"/>
      <c r="F17" s="502"/>
      <c r="G17" s="502"/>
      <c r="H17" s="502"/>
      <c r="I17" s="502"/>
      <c r="J17" s="502"/>
      <c r="K17" s="502"/>
      <c r="L17" s="502"/>
      <c r="M17" s="502"/>
      <c r="N17" s="502"/>
      <c r="O17" s="495" t="str">
        <f>IF(TeamA!E14="","",TeamA!E14)</f>
        <v/>
      </c>
      <c r="P17" s="495"/>
      <c r="Q17" s="496"/>
      <c r="R17" s="495"/>
      <c r="S17" s="496"/>
      <c r="T17" s="474">
        <f>IF(TeamA!F14="","",TeamA!F14)</f>
        <v>0</v>
      </c>
      <c r="U17" s="474"/>
      <c r="V17" s="30"/>
      <c r="W17" s="406"/>
      <c r="X17" s="406"/>
      <c r="Y17" s="407"/>
      <c r="Z17" s="4"/>
      <c r="AA17" s="4"/>
      <c r="AB17" s="4"/>
      <c r="AC17" s="114"/>
      <c r="AD17" s="6"/>
      <c r="AE17" s="4"/>
      <c r="AF17" s="4"/>
      <c r="AG17" s="4"/>
      <c r="AH17" s="450"/>
      <c r="AI17" s="451"/>
      <c r="AJ17" s="624"/>
      <c r="AK17" s="625"/>
      <c r="AL17" s="625"/>
      <c r="AM17" s="625"/>
      <c r="AN17" s="625"/>
      <c r="AO17" s="626"/>
      <c r="AP17" s="406"/>
      <c r="AQ17" s="406"/>
      <c r="AR17" s="407"/>
      <c r="AS17" s="118"/>
      <c r="AT17" s="4"/>
      <c r="AU17" s="957"/>
      <c r="AV17" s="957"/>
      <c r="AW17" s="957"/>
      <c r="AX17" s="957"/>
      <c r="AY17" s="634" t="str">
        <f t="shared" si="0"/>
        <v/>
      </c>
      <c r="AZ17" s="407"/>
      <c r="BA17" s="634"/>
      <c r="BB17" s="958"/>
    </row>
    <row r="18" spans="1:54" s="2" customFormat="1" ht="12.6" customHeight="1" x14ac:dyDescent="0.2">
      <c r="A18" s="28">
        <f>IF(TeamA!C15="","",TeamA!C15)</f>
        <v>0</v>
      </c>
      <c r="B18" s="569" t="str">
        <f>IF(TeamA!D15="","",TeamA!D15)</f>
        <v>V   三浦　雅也</v>
      </c>
      <c r="C18" s="570"/>
      <c r="D18" s="570"/>
      <c r="E18" s="570"/>
      <c r="F18" s="570"/>
      <c r="G18" s="570"/>
      <c r="H18" s="570"/>
      <c r="I18" s="570"/>
      <c r="J18" s="570"/>
      <c r="K18" s="570"/>
      <c r="L18" s="570"/>
      <c r="M18" s="570"/>
      <c r="N18" s="570"/>
      <c r="O18" s="580" t="str">
        <f>IF(TeamA!E15="","",TeamA!E15)</f>
        <v/>
      </c>
      <c r="P18" s="580"/>
      <c r="Q18" s="581"/>
      <c r="R18" s="580"/>
      <c r="S18" s="581"/>
      <c r="T18" s="586">
        <f>IF(TeamA!F15="","",TeamA!F15)</f>
        <v>0</v>
      </c>
      <c r="U18" s="586"/>
      <c r="V18" s="30"/>
      <c r="W18" s="406"/>
      <c r="X18" s="406"/>
      <c r="Y18" s="407"/>
      <c r="Z18" s="4"/>
      <c r="AA18" s="4"/>
      <c r="AB18" s="4"/>
      <c r="AC18" s="114"/>
      <c r="AD18" s="6"/>
      <c r="AE18" s="4"/>
      <c r="AF18" s="4"/>
      <c r="AG18" s="4"/>
      <c r="AH18" s="450"/>
      <c r="AI18" s="451"/>
      <c r="AJ18" s="624"/>
      <c r="AK18" s="625"/>
      <c r="AL18" s="625"/>
      <c r="AM18" s="625"/>
      <c r="AN18" s="625"/>
      <c r="AO18" s="626"/>
      <c r="AP18" s="406"/>
      <c r="AQ18" s="406"/>
      <c r="AR18" s="407"/>
      <c r="AS18" s="118"/>
      <c r="AT18" s="4"/>
      <c r="AU18" s="957"/>
      <c r="AV18" s="957"/>
      <c r="AW18" s="957"/>
      <c r="AX18" s="957"/>
      <c r="AY18" s="634" t="str">
        <f t="shared" si="0"/>
        <v/>
      </c>
      <c r="AZ18" s="407"/>
      <c r="BA18" s="634"/>
      <c r="BB18" s="958"/>
    </row>
    <row r="19" spans="1:54" s="2" customFormat="1" ht="12.6" customHeight="1" x14ac:dyDescent="0.2">
      <c r="A19" s="29">
        <f>IF(TeamA!C16="","",TeamA!C16)</f>
        <v>0</v>
      </c>
      <c r="B19" s="490" t="str">
        <f>IF(TeamA!D16="","",TeamA!D16)</f>
        <v>V   小山田　晃</v>
      </c>
      <c r="C19" s="491"/>
      <c r="D19" s="491"/>
      <c r="E19" s="491"/>
      <c r="F19" s="491"/>
      <c r="G19" s="491"/>
      <c r="H19" s="491"/>
      <c r="I19" s="491"/>
      <c r="J19" s="491"/>
      <c r="K19" s="491"/>
      <c r="L19" s="491"/>
      <c r="M19" s="491"/>
      <c r="N19" s="491"/>
      <c r="O19" s="481" t="str">
        <f>IF(TeamA!E16="","",TeamA!E16)</f>
        <v/>
      </c>
      <c r="P19" s="481"/>
      <c r="Q19" s="584"/>
      <c r="R19" s="481"/>
      <c r="S19" s="584"/>
      <c r="T19" s="493">
        <f>IF(TeamA!F16="","",TeamA!F16)</f>
        <v>0</v>
      </c>
      <c r="U19" s="494"/>
      <c r="V19" s="30"/>
      <c r="W19" s="406"/>
      <c r="X19" s="406"/>
      <c r="Y19" s="407"/>
      <c r="Z19" s="4"/>
      <c r="AA19" s="4"/>
      <c r="AB19" s="4"/>
      <c r="AC19" s="114"/>
      <c r="AD19" s="6"/>
      <c r="AE19" s="4"/>
      <c r="AF19" s="4"/>
      <c r="AG19" s="4"/>
      <c r="AH19" s="450"/>
      <c r="AI19" s="451"/>
      <c r="AJ19" s="624"/>
      <c r="AK19" s="625"/>
      <c r="AL19" s="625"/>
      <c r="AM19" s="625"/>
      <c r="AN19" s="625"/>
      <c r="AO19" s="626"/>
      <c r="AP19" s="406"/>
      <c r="AQ19" s="406"/>
      <c r="AR19" s="407"/>
      <c r="AS19" s="118"/>
      <c r="AT19" s="4"/>
      <c r="AU19" s="957"/>
      <c r="AV19" s="957"/>
      <c r="AW19" s="957"/>
      <c r="AX19" s="957"/>
      <c r="AY19" s="634" t="str">
        <f t="shared" si="0"/>
        <v/>
      </c>
      <c r="AZ19" s="407"/>
      <c r="BA19" s="634"/>
      <c r="BB19" s="958"/>
    </row>
    <row r="20" spans="1:54" s="2" customFormat="1" ht="12.6" customHeight="1" x14ac:dyDescent="0.2">
      <c r="A20" s="6">
        <f>IF(TeamA!C17="","",TeamA!C17)</f>
        <v>0</v>
      </c>
      <c r="B20" s="501" t="str">
        <f>IF(TeamA!D17="","",TeamA!D17)</f>
        <v>V   吉澤　大器</v>
      </c>
      <c r="C20" s="502"/>
      <c r="D20" s="502"/>
      <c r="E20" s="502"/>
      <c r="F20" s="502"/>
      <c r="G20" s="502"/>
      <c r="H20" s="502"/>
      <c r="I20" s="502"/>
      <c r="J20" s="502"/>
      <c r="K20" s="502"/>
      <c r="L20" s="502"/>
      <c r="M20" s="502"/>
      <c r="N20" s="502"/>
      <c r="O20" s="495" t="str">
        <f>IF(TeamA!E17="","",TeamA!E17)</f>
        <v/>
      </c>
      <c r="P20" s="495"/>
      <c r="Q20" s="496"/>
      <c r="R20" s="495"/>
      <c r="S20" s="496"/>
      <c r="T20" s="474">
        <f>IF(TeamA!F17="","",TeamA!F17)</f>
        <v>0</v>
      </c>
      <c r="U20" s="475"/>
      <c r="V20" s="30"/>
      <c r="W20" s="406"/>
      <c r="X20" s="406"/>
      <c r="Y20" s="407"/>
      <c r="Z20" s="4"/>
      <c r="AA20" s="4"/>
      <c r="AB20" s="4"/>
      <c r="AC20" s="114"/>
      <c r="AD20" s="6"/>
      <c r="AE20" s="4"/>
      <c r="AF20" s="4"/>
      <c r="AG20" s="4"/>
      <c r="AH20" s="450"/>
      <c r="AI20" s="451"/>
      <c r="AJ20" s="624"/>
      <c r="AK20" s="625"/>
      <c r="AL20" s="625"/>
      <c r="AM20" s="625"/>
      <c r="AN20" s="625"/>
      <c r="AO20" s="626"/>
      <c r="AP20" s="406"/>
      <c r="AQ20" s="406"/>
      <c r="AR20" s="407"/>
      <c r="AS20" s="118"/>
      <c r="AT20" s="4"/>
      <c r="AU20" s="957"/>
      <c r="AV20" s="957"/>
      <c r="AW20" s="957"/>
      <c r="AX20" s="957"/>
      <c r="AY20" s="634" t="str">
        <f t="shared" si="0"/>
        <v/>
      </c>
      <c r="AZ20" s="407"/>
      <c r="BA20" s="634"/>
      <c r="BB20" s="958"/>
    </row>
    <row r="21" spans="1:54" s="2" customFormat="1" ht="12.6" customHeight="1" x14ac:dyDescent="0.2">
      <c r="A21" s="6">
        <f>IF(TeamA!C18="","",TeamA!C18)</f>
        <v>0</v>
      </c>
      <c r="B21" s="501" t="str">
        <f>IF(TeamA!D18="","",TeamA!D18)</f>
        <v>V   山下　直樹</v>
      </c>
      <c r="C21" s="502"/>
      <c r="D21" s="502"/>
      <c r="E21" s="502"/>
      <c r="F21" s="502"/>
      <c r="G21" s="502"/>
      <c r="H21" s="502"/>
      <c r="I21" s="502"/>
      <c r="J21" s="502"/>
      <c r="K21" s="502"/>
      <c r="L21" s="502"/>
      <c r="M21" s="502"/>
      <c r="N21" s="502"/>
      <c r="O21" s="495" t="str">
        <f>IF(TeamA!E18="","",TeamA!E18)</f>
        <v/>
      </c>
      <c r="P21" s="495"/>
      <c r="Q21" s="496"/>
      <c r="R21" s="495"/>
      <c r="S21" s="496"/>
      <c r="T21" s="474">
        <f>IF(TeamA!F18="","",TeamA!F18)</f>
        <v>0</v>
      </c>
      <c r="U21" s="475"/>
      <c r="V21" s="30"/>
      <c r="W21" s="406"/>
      <c r="X21" s="406"/>
      <c r="Y21" s="407"/>
      <c r="Z21" s="4"/>
      <c r="AA21" s="4"/>
      <c r="AB21" s="4"/>
      <c r="AC21" s="114"/>
      <c r="AD21" s="6"/>
      <c r="AE21" s="4"/>
      <c r="AF21" s="4"/>
      <c r="AG21" s="4"/>
      <c r="AH21" s="450"/>
      <c r="AI21" s="451"/>
      <c r="AJ21" s="624"/>
      <c r="AK21" s="625"/>
      <c r="AL21" s="625"/>
      <c r="AM21" s="625"/>
      <c r="AN21" s="625"/>
      <c r="AO21" s="626"/>
      <c r="AP21" s="406"/>
      <c r="AQ21" s="406"/>
      <c r="AR21" s="407"/>
      <c r="AS21" s="118"/>
      <c r="AT21" s="4"/>
      <c r="AU21" s="957"/>
      <c r="AV21" s="957"/>
      <c r="AW21" s="957"/>
      <c r="AX21" s="957"/>
      <c r="AY21" s="634" t="str">
        <f t="shared" si="0"/>
        <v/>
      </c>
      <c r="AZ21" s="407"/>
      <c r="BA21" s="634"/>
      <c r="BB21" s="958"/>
    </row>
    <row r="22" spans="1:54" s="2" customFormat="1" ht="12.6" customHeight="1" x14ac:dyDescent="0.2">
      <c r="A22" s="6">
        <f>IF(TeamA!C19="","",TeamA!C19)</f>
        <v>0</v>
      </c>
      <c r="B22" s="501" t="str">
        <f>IF(TeamA!D19="","",TeamA!D19)</f>
        <v>V   奥野　稔明</v>
      </c>
      <c r="C22" s="502"/>
      <c r="D22" s="502"/>
      <c r="E22" s="502"/>
      <c r="F22" s="502"/>
      <c r="G22" s="502"/>
      <c r="H22" s="502"/>
      <c r="I22" s="502"/>
      <c r="J22" s="502"/>
      <c r="K22" s="502"/>
      <c r="L22" s="502"/>
      <c r="M22" s="502"/>
      <c r="N22" s="502"/>
      <c r="O22" s="495" t="str">
        <f>IF(TeamA!E19="","",TeamA!E19)</f>
        <v/>
      </c>
      <c r="P22" s="495"/>
      <c r="Q22" s="496"/>
      <c r="R22" s="495"/>
      <c r="S22" s="496"/>
      <c r="T22" s="474">
        <f>IF(TeamA!F19="","",TeamA!F19)</f>
        <v>0</v>
      </c>
      <c r="U22" s="475"/>
      <c r="V22" s="30"/>
      <c r="W22" s="406"/>
      <c r="X22" s="406"/>
      <c r="Y22" s="407"/>
      <c r="Z22" s="4"/>
      <c r="AA22" s="4"/>
      <c r="AB22" s="4"/>
      <c r="AC22" s="114"/>
      <c r="AD22" s="6"/>
      <c r="AE22" s="4"/>
      <c r="AF22" s="4"/>
      <c r="AG22" s="4"/>
      <c r="AH22" s="450"/>
      <c r="AI22" s="451"/>
      <c r="AJ22" s="624"/>
      <c r="AK22" s="625"/>
      <c r="AL22" s="625"/>
      <c r="AM22" s="625"/>
      <c r="AN22" s="625"/>
      <c r="AO22" s="626"/>
      <c r="AP22" s="406"/>
      <c r="AQ22" s="406"/>
      <c r="AR22" s="407"/>
      <c r="AS22" s="118"/>
      <c r="AT22" s="4"/>
      <c r="AU22" s="957"/>
      <c r="AV22" s="957"/>
      <c r="AW22" s="957"/>
      <c r="AX22" s="957"/>
      <c r="AY22" s="634" t="str">
        <f t="shared" si="0"/>
        <v/>
      </c>
      <c r="AZ22" s="407"/>
      <c r="BA22" s="634"/>
      <c r="BB22" s="958"/>
    </row>
    <row r="23" spans="1:54" s="2" customFormat="1" ht="12.6" customHeight="1" x14ac:dyDescent="0.2">
      <c r="A23" s="31">
        <f>IF(TeamA!C20="","",TeamA!C20)</f>
        <v>0</v>
      </c>
      <c r="B23" s="569" t="str">
        <f>IF(TeamA!D20="","",TeamA!D20)</f>
        <v>V   今里　悠人</v>
      </c>
      <c r="C23" s="570"/>
      <c r="D23" s="570"/>
      <c r="E23" s="570"/>
      <c r="F23" s="570"/>
      <c r="G23" s="570"/>
      <c r="H23" s="570"/>
      <c r="I23" s="570"/>
      <c r="J23" s="570"/>
      <c r="K23" s="570"/>
      <c r="L23" s="570"/>
      <c r="M23" s="570"/>
      <c r="N23" s="570"/>
      <c r="O23" s="526" t="str">
        <f>IF(TeamA!E20="","",TeamA!E20)</f>
        <v/>
      </c>
      <c r="P23" s="526"/>
      <c r="Q23" s="487"/>
      <c r="R23" s="526"/>
      <c r="S23" s="487"/>
      <c r="T23" s="538">
        <f>IF(TeamA!F20="","",TeamA!F20)</f>
        <v>0</v>
      </c>
      <c r="U23" s="488"/>
      <c r="V23" s="30"/>
      <c r="W23" s="406"/>
      <c r="X23" s="406"/>
      <c r="Y23" s="407"/>
      <c r="Z23" s="4"/>
      <c r="AA23" s="4"/>
      <c r="AB23" s="4"/>
      <c r="AC23" s="114"/>
      <c r="AD23" s="6"/>
      <c r="AE23" s="4"/>
      <c r="AF23" s="4"/>
      <c r="AG23" s="4"/>
      <c r="AH23" s="450"/>
      <c r="AI23" s="451"/>
      <c r="AJ23" s="624"/>
      <c r="AK23" s="625"/>
      <c r="AL23" s="625"/>
      <c r="AM23" s="625"/>
      <c r="AN23" s="625"/>
      <c r="AO23" s="626"/>
      <c r="AP23" s="406"/>
      <c r="AQ23" s="406"/>
      <c r="AR23" s="407"/>
      <c r="AS23" s="118"/>
      <c r="AT23" s="4"/>
      <c r="AU23" s="957"/>
      <c r="AV23" s="957"/>
      <c r="AW23" s="957"/>
      <c r="AX23" s="957"/>
      <c r="AY23" s="634" t="str">
        <f t="shared" si="0"/>
        <v/>
      </c>
      <c r="AZ23" s="407"/>
      <c r="BA23" s="634"/>
      <c r="BB23" s="958"/>
    </row>
    <row r="24" spans="1:54" s="2" customFormat="1" ht="12.6" customHeight="1" x14ac:dyDescent="0.2">
      <c r="A24" s="11">
        <f>IF(TeamA!C21="","",TeamA!C21)</f>
        <v>0</v>
      </c>
      <c r="B24" s="490" t="str">
        <f>IF(TeamA!D21="","",TeamA!D21)</f>
        <v>V   藤澤　岳瞭</v>
      </c>
      <c r="C24" s="491"/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34" t="str">
        <f>IF(TeamA!E21="","",TeamA!E21)</f>
        <v/>
      </c>
      <c r="P24" s="434"/>
      <c r="Q24" s="492"/>
      <c r="R24" s="434"/>
      <c r="S24" s="492"/>
      <c r="T24" s="397">
        <f>IF(TeamA!F21="","",TeamA!F21)</f>
        <v>0</v>
      </c>
      <c r="U24" s="397"/>
      <c r="V24" s="30"/>
      <c r="W24" s="406"/>
      <c r="X24" s="406"/>
      <c r="Y24" s="407"/>
      <c r="Z24" s="4"/>
      <c r="AA24" s="4"/>
      <c r="AB24" s="4"/>
      <c r="AC24" s="114"/>
      <c r="AD24" s="6"/>
      <c r="AE24" s="4"/>
      <c r="AF24" s="4"/>
      <c r="AG24" s="4"/>
      <c r="AH24" s="450"/>
      <c r="AI24" s="451"/>
      <c r="AJ24" s="624"/>
      <c r="AK24" s="625"/>
      <c r="AL24" s="625"/>
      <c r="AM24" s="625"/>
      <c r="AN24" s="625"/>
      <c r="AO24" s="626"/>
      <c r="AP24" s="406"/>
      <c r="AQ24" s="406"/>
      <c r="AR24" s="407"/>
      <c r="AS24" s="118"/>
      <c r="AT24" s="4"/>
      <c r="AU24" s="957"/>
      <c r="AV24" s="957"/>
      <c r="AW24" s="957"/>
      <c r="AX24" s="957"/>
      <c r="AY24" s="634" t="str">
        <f t="shared" si="0"/>
        <v/>
      </c>
      <c r="AZ24" s="407"/>
      <c r="BA24" s="634"/>
      <c r="BB24" s="958"/>
    </row>
    <row r="25" spans="1:54" s="2" customFormat="1" ht="12.6" customHeight="1" x14ac:dyDescent="0.2">
      <c r="A25" s="6">
        <f>IF(TeamA!C22="","",TeamA!C22)</f>
        <v>0</v>
      </c>
      <c r="B25" s="501" t="str">
        <f>IF(TeamA!D22="","",TeamA!D22)</f>
        <v>V   道祖土　貴大</v>
      </c>
      <c r="C25" s="502"/>
      <c r="D25" s="502"/>
      <c r="E25" s="502"/>
      <c r="F25" s="502"/>
      <c r="G25" s="502"/>
      <c r="H25" s="502"/>
      <c r="I25" s="502"/>
      <c r="J25" s="502"/>
      <c r="K25" s="502"/>
      <c r="L25" s="502"/>
      <c r="M25" s="502"/>
      <c r="N25" s="502"/>
      <c r="O25" s="495" t="str">
        <f>IF(TeamA!E22="","",TeamA!E22)</f>
        <v/>
      </c>
      <c r="P25" s="495"/>
      <c r="Q25" s="496"/>
      <c r="R25" s="495"/>
      <c r="S25" s="496"/>
      <c r="T25" s="474">
        <f>IF(TeamA!F22="","",TeamA!F22)</f>
        <v>0</v>
      </c>
      <c r="U25" s="474"/>
      <c r="V25" s="30"/>
      <c r="W25" s="406"/>
      <c r="X25" s="406"/>
      <c r="Y25" s="407"/>
      <c r="Z25" s="4"/>
      <c r="AA25" s="4"/>
      <c r="AB25" s="4"/>
      <c r="AC25" s="114"/>
      <c r="AD25" s="6"/>
      <c r="AE25" s="4"/>
      <c r="AF25" s="4"/>
      <c r="AG25" s="4"/>
      <c r="AH25" s="450"/>
      <c r="AI25" s="451"/>
      <c r="AJ25" s="624"/>
      <c r="AK25" s="625"/>
      <c r="AL25" s="625"/>
      <c r="AM25" s="625"/>
      <c r="AN25" s="625"/>
      <c r="AO25" s="626"/>
      <c r="AP25" s="406"/>
      <c r="AQ25" s="406"/>
      <c r="AR25" s="407"/>
      <c r="AS25" s="118"/>
      <c r="AT25" s="4"/>
      <c r="AU25" s="957"/>
      <c r="AV25" s="957"/>
      <c r="AW25" s="957"/>
      <c r="AX25" s="957"/>
      <c r="AY25" s="634" t="str">
        <f t="shared" si="0"/>
        <v/>
      </c>
      <c r="AZ25" s="407"/>
      <c r="BA25" s="634"/>
      <c r="BB25" s="958"/>
    </row>
    <row r="26" spans="1:54" s="2" customFormat="1" ht="12.6" customHeight="1" x14ac:dyDescent="0.2">
      <c r="A26" s="6">
        <f>IF(TeamA!C23="","",TeamA!C23)</f>
        <v>0</v>
      </c>
      <c r="B26" s="501" t="str">
        <f>IF(TeamA!D23="","",TeamA!D23)</f>
        <v>V   吉岡　唯</v>
      </c>
      <c r="C26" s="502"/>
      <c r="D26" s="502"/>
      <c r="E26" s="502"/>
      <c r="F26" s="502"/>
      <c r="G26" s="502"/>
      <c r="H26" s="502"/>
      <c r="I26" s="502"/>
      <c r="J26" s="502"/>
      <c r="K26" s="502"/>
      <c r="L26" s="502"/>
      <c r="M26" s="502"/>
      <c r="N26" s="502"/>
      <c r="O26" s="495" t="str">
        <f>IF(TeamA!E23="","",TeamA!E23)</f>
        <v/>
      </c>
      <c r="P26" s="495"/>
      <c r="Q26" s="496"/>
      <c r="R26" s="495"/>
      <c r="S26" s="496"/>
      <c r="T26" s="474">
        <f>IF(TeamA!F23="","",TeamA!F23)</f>
        <v>0</v>
      </c>
      <c r="U26" s="474"/>
      <c r="V26" s="30"/>
      <c r="W26" s="406"/>
      <c r="X26" s="406"/>
      <c r="Y26" s="407"/>
      <c r="Z26" s="4"/>
      <c r="AA26" s="4"/>
      <c r="AB26" s="4"/>
      <c r="AC26" s="114"/>
      <c r="AD26" s="6"/>
      <c r="AE26" s="4"/>
      <c r="AF26" s="4"/>
      <c r="AG26" s="4"/>
      <c r="AH26" s="450"/>
      <c r="AI26" s="451"/>
      <c r="AJ26" s="624"/>
      <c r="AK26" s="625"/>
      <c r="AL26" s="625"/>
      <c r="AM26" s="625"/>
      <c r="AN26" s="625"/>
      <c r="AO26" s="626"/>
      <c r="AP26" s="406"/>
      <c r="AQ26" s="406"/>
      <c r="AR26" s="407"/>
      <c r="AS26" s="118"/>
      <c r="AT26" s="4"/>
      <c r="AU26" s="957"/>
      <c r="AV26" s="957"/>
      <c r="AW26" s="957"/>
      <c r="AX26" s="957"/>
      <c r="AY26" s="634" t="str">
        <f t="shared" si="0"/>
        <v/>
      </c>
      <c r="AZ26" s="407"/>
      <c r="BA26" s="634"/>
      <c r="BB26" s="958"/>
    </row>
    <row r="27" spans="1:54" s="2" customFormat="1" ht="12.6" customHeight="1" x14ac:dyDescent="0.2">
      <c r="A27" s="6">
        <f>IF(TeamA!C24="","",TeamA!C24)</f>
        <v>0</v>
      </c>
      <c r="B27" s="501" t="str">
        <f>IF(TeamA!D24="","",TeamA!D24)</f>
        <v>V   巴　龍太郎</v>
      </c>
      <c r="C27" s="502"/>
      <c r="D27" s="502"/>
      <c r="E27" s="502"/>
      <c r="F27" s="502"/>
      <c r="G27" s="502"/>
      <c r="H27" s="502"/>
      <c r="I27" s="502"/>
      <c r="J27" s="502"/>
      <c r="K27" s="502"/>
      <c r="L27" s="502"/>
      <c r="M27" s="502"/>
      <c r="N27" s="502"/>
      <c r="O27" s="495" t="str">
        <f>IF(TeamA!E24="","",TeamA!E24)</f>
        <v/>
      </c>
      <c r="P27" s="495"/>
      <c r="Q27" s="496"/>
      <c r="R27" s="495"/>
      <c r="S27" s="496"/>
      <c r="T27" s="474">
        <f>IF(TeamA!F24="","",TeamA!F24)</f>
        <v>0</v>
      </c>
      <c r="U27" s="474"/>
      <c r="V27" s="30"/>
      <c r="W27" s="406"/>
      <c r="X27" s="406"/>
      <c r="Y27" s="407"/>
      <c r="Z27" s="4"/>
      <c r="AA27" s="4"/>
      <c r="AB27" s="4"/>
      <c r="AC27" s="114"/>
      <c r="AD27" s="31"/>
      <c r="AE27" s="378"/>
      <c r="AF27" s="378"/>
      <c r="AG27" s="378"/>
      <c r="AH27" s="588"/>
      <c r="AI27" s="589"/>
      <c r="AJ27" s="624"/>
      <c r="AK27" s="625"/>
      <c r="AL27" s="625"/>
      <c r="AM27" s="625"/>
      <c r="AN27" s="625"/>
      <c r="AO27" s="626"/>
      <c r="AP27" s="406"/>
      <c r="AQ27" s="406"/>
      <c r="AR27" s="407"/>
      <c r="AS27" s="118"/>
      <c r="AT27" s="4"/>
      <c r="AU27" s="957"/>
      <c r="AV27" s="957"/>
      <c r="AW27" s="957"/>
      <c r="AX27" s="957"/>
      <c r="AY27" s="634" t="str">
        <f t="shared" si="0"/>
        <v/>
      </c>
      <c r="AZ27" s="407"/>
      <c r="BA27" s="634"/>
      <c r="BB27" s="958"/>
    </row>
    <row r="28" spans="1:54" s="2" customFormat="1" ht="12.6" customHeight="1" x14ac:dyDescent="0.2">
      <c r="A28" s="31">
        <f>IF(TeamA!C25="","",TeamA!C25)</f>
        <v>0</v>
      </c>
      <c r="B28" s="569" t="str">
        <f>IF(TeamA!D25="","",TeamA!D25)</f>
        <v>V   神田　翔真</v>
      </c>
      <c r="C28" s="570"/>
      <c r="D28" s="570"/>
      <c r="E28" s="570"/>
      <c r="F28" s="570"/>
      <c r="G28" s="570"/>
      <c r="H28" s="570"/>
      <c r="I28" s="570"/>
      <c r="J28" s="570"/>
      <c r="K28" s="570"/>
      <c r="L28" s="570"/>
      <c r="M28" s="570"/>
      <c r="N28" s="570"/>
      <c r="O28" s="571" t="str">
        <f>IF(TeamA!E25="","",TeamA!E25)</f>
        <v/>
      </c>
      <c r="P28" s="526"/>
      <c r="Q28" s="487"/>
      <c r="R28" s="526"/>
      <c r="S28" s="487"/>
      <c r="T28" s="487">
        <f>IF(TeamA!F25="","",TeamA!F25)</f>
        <v>0</v>
      </c>
      <c r="U28" s="488"/>
      <c r="V28" s="30"/>
      <c r="W28" s="406"/>
      <c r="X28" s="406"/>
      <c r="Y28" s="407"/>
      <c r="Z28" s="4"/>
      <c r="AA28" s="4"/>
      <c r="AB28" s="4"/>
      <c r="AC28" s="115"/>
      <c r="AD28" s="520" t="s">
        <v>122</v>
      </c>
      <c r="AE28" s="521"/>
      <c r="AF28" s="521"/>
      <c r="AG28" s="521"/>
      <c r="AH28" s="521"/>
      <c r="AI28" s="522"/>
      <c r="AJ28" s="517" t="str">
        <f>IF(TeamA!D26="","",TeamA!D26)</f>
        <v xml:space="preserve">      田中　伸史</v>
      </c>
      <c r="AK28" s="518"/>
      <c r="AL28" s="518"/>
      <c r="AM28" s="518"/>
      <c r="AN28" s="518"/>
      <c r="AO28" s="519"/>
      <c r="AP28" s="406"/>
      <c r="AQ28" s="406"/>
      <c r="AR28" s="407"/>
      <c r="AS28" s="118"/>
      <c r="AT28" s="4"/>
      <c r="AU28" s="957"/>
      <c r="AV28" s="957"/>
      <c r="AW28" s="957"/>
      <c r="AX28" s="957"/>
      <c r="AY28" s="634" t="str">
        <f t="shared" si="0"/>
        <v/>
      </c>
      <c r="AZ28" s="407"/>
      <c r="BA28" s="955"/>
      <c r="BB28" s="956"/>
    </row>
    <row r="29" spans="1:54" s="2" customFormat="1" ht="11.1" customHeight="1" x14ac:dyDescent="0.2">
      <c r="A29" s="456" t="s">
        <v>123</v>
      </c>
      <c r="B29" s="457"/>
      <c r="C29" s="457"/>
      <c r="D29" s="457"/>
      <c r="E29" s="457"/>
      <c r="F29" s="703"/>
      <c r="G29" s="394" t="str">
        <f>IF(GameSheet!G29="","",GameSheet!G29)</f>
        <v>S Lightning</v>
      </c>
      <c r="H29" s="395"/>
      <c r="I29" s="395"/>
      <c r="J29" s="395"/>
      <c r="K29" s="395"/>
      <c r="L29" s="395"/>
      <c r="M29" s="395"/>
      <c r="N29" s="395"/>
      <c r="O29" s="395"/>
      <c r="P29" s="395"/>
      <c r="Q29" s="395"/>
      <c r="R29" s="395"/>
      <c r="S29" s="395"/>
      <c r="T29" s="395"/>
      <c r="U29" s="396"/>
      <c r="V29" s="452" t="s">
        <v>102</v>
      </c>
      <c r="W29" s="453"/>
      <c r="X29" s="453"/>
      <c r="Y29" s="453"/>
      <c r="Z29" s="453"/>
      <c r="AA29" s="453"/>
      <c r="AB29" s="453"/>
      <c r="AC29" s="453"/>
      <c r="AD29" s="456" t="s">
        <v>103</v>
      </c>
      <c r="AE29" s="457"/>
      <c r="AF29" s="457"/>
      <c r="AG29" s="457"/>
      <c r="AH29" s="457"/>
      <c r="AI29" s="458"/>
      <c r="AJ29" s="621"/>
      <c r="AK29" s="622"/>
      <c r="AL29" s="622"/>
      <c r="AM29" s="622"/>
      <c r="AN29" s="622"/>
      <c r="AO29" s="623"/>
      <c r="AP29" s="456" t="s">
        <v>124</v>
      </c>
      <c r="AQ29" s="457"/>
      <c r="AR29" s="457"/>
      <c r="AS29" s="457"/>
      <c r="AT29" s="457"/>
      <c r="AU29" s="457"/>
      <c r="AV29" s="457"/>
      <c r="AW29" s="457"/>
      <c r="AX29" s="457"/>
      <c r="AY29" s="457"/>
      <c r="AZ29" s="457"/>
      <c r="BA29" s="457"/>
      <c r="BB29" s="458"/>
    </row>
    <row r="30" spans="1:54" s="2" customFormat="1" ht="11.1" customHeight="1" x14ac:dyDescent="0.2">
      <c r="A30" s="704"/>
      <c r="B30" s="705"/>
      <c r="C30" s="705"/>
      <c r="D30" s="705"/>
      <c r="E30" s="705"/>
      <c r="F30" s="706"/>
      <c r="G30" s="397"/>
      <c r="H30" s="398"/>
      <c r="I30" s="398"/>
      <c r="J30" s="398"/>
      <c r="K30" s="398"/>
      <c r="L30" s="398"/>
      <c r="M30" s="398"/>
      <c r="N30" s="398"/>
      <c r="O30" s="398"/>
      <c r="P30" s="398"/>
      <c r="Q30" s="398"/>
      <c r="R30" s="398"/>
      <c r="S30" s="398"/>
      <c r="T30" s="398"/>
      <c r="U30" s="399"/>
      <c r="V30" s="454"/>
      <c r="W30" s="455"/>
      <c r="X30" s="455"/>
      <c r="Y30" s="455"/>
      <c r="Z30" s="455"/>
      <c r="AA30" s="455"/>
      <c r="AB30" s="455"/>
      <c r="AC30" s="455"/>
      <c r="AD30" s="459"/>
      <c r="AE30" s="460"/>
      <c r="AF30" s="460"/>
      <c r="AG30" s="460"/>
      <c r="AH30" s="460"/>
      <c r="AI30" s="461"/>
      <c r="AJ30" s="624"/>
      <c r="AK30" s="625"/>
      <c r="AL30" s="625"/>
      <c r="AM30" s="625"/>
      <c r="AN30" s="625"/>
      <c r="AO30" s="626"/>
      <c r="AP30" s="960"/>
      <c r="AQ30" s="961"/>
      <c r="AR30" s="961"/>
      <c r="AS30" s="961"/>
      <c r="AT30" s="961"/>
      <c r="AU30" s="961"/>
      <c r="AV30" s="961"/>
      <c r="AW30" s="961"/>
      <c r="AX30" s="961"/>
      <c r="AY30" s="961"/>
      <c r="AZ30" s="961"/>
      <c r="BA30" s="961"/>
      <c r="BB30" s="962"/>
    </row>
    <row r="31" spans="1:54" s="3" customFormat="1" ht="12.6" customHeight="1" x14ac:dyDescent="0.2">
      <c r="A31" s="382" t="s">
        <v>17</v>
      </c>
      <c r="B31" s="527" t="s">
        <v>105</v>
      </c>
      <c r="C31" s="528"/>
      <c r="D31" s="528"/>
      <c r="E31" s="528"/>
      <c r="F31" s="528"/>
      <c r="G31" s="528"/>
      <c r="H31" s="528"/>
      <c r="I31" s="528"/>
      <c r="J31" s="528"/>
      <c r="K31" s="528"/>
      <c r="L31" s="528"/>
      <c r="M31" s="528"/>
      <c r="N31" s="528"/>
      <c r="O31" s="416" t="s">
        <v>106</v>
      </c>
      <c r="P31" s="416"/>
      <c r="Q31" s="416"/>
      <c r="R31" s="416"/>
      <c r="S31" s="417"/>
      <c r="T31" s="503" t="s">
        <v>107</v>
      </c>
      <c r="U31" s="620"/>
      <c r="V31" s="382" t="s">
        <v>108</v>
      </c>
      <c r="W31" s="503" t="s">
        <v>109</v>
      </c>
      <c r="X31" s="503"/>
      <c r="Y31" s="503"/>
      <c r="Z31" s="373" t="s">
        <v>110</v>
      </c>
      <c r="AA31" s="373" t="s">
        <v>111</v>
      </c>
      <c r="AB31" s="373" t="s">
        <v>112</v>
      </c>
      <c r="AC31" s="368" t="s">
        <v>113</v>
      </c>
      <c r="AD31" s="382" t="s">
        <v>114</v>
      </c>
      <c r="AE31" s="373" t="s">
        <v>115</v>
      </c>
      <c r="AF31" s="38" t="s">
        <v>116</v>
      </c>
      <c r="AG31" s="38" t="s">
        <v>117</v>
      </c>
      <c r="AH31" s="445" t="s">
        <v>118</v>
      </c>
      <c r="AI31" s="446"/>
      <c r="AJ31" s="624"/>
      <c r="AK31" s="625"/>
      <c r="AL31" s="625"/>
      <c r="AM31" s="625"/>
      <c r="AN31" s="625"/>
      <c r="AO31" s="626"/>
      <c r="AP31" s="959" t="s">
        <v>109</v>
      </c>
      <c r="AQ31" s="503"/>
      <c r="AR31" s="503"/>
      <c r="AS31" s="373" t="s">
        <v>119</v>
      </c>
      <c r="AT31" s="373" t="s">
        <v>18</v>
      </c>
      <c r="AU31" s="503" t="s">
        <v>120</v>
      </c>
      <c r="AV31" s="503"/>
      <c r="AW31" s="503"/>
      <c r="AX31" s="503"/>
      <c r="AY31" s="503" t="s">
        <v>20</v>
      </c>
      <c r="AZ31" s="503"/>
      <c r="BA31" s="503" t="s">
        <v>121</v>
      </c>
      <c r="BB31" s="592"/>
    </row>
    <row r="32" spans="1:54" s="2" customFormat="1" ht="12.6" customHeight="1" x14ac:dyDescent="0.2">
      <c r="A32" s="11">
        <f>IF(TeamB!C4="","",TeamB!C4)</f>
        <v>0</v>
      </c>
      <c r="B32" s="490" t="str">
        <f>IF(TeamB!D4="","",TeamB!D4)</f>
        <v>V   松本　知之</v>
      </c>
      <c r="C32" s="491"/>
      <c r="D32" s="491"/>
      <c r="E32" s="491"/>
      <c r="F32" s="491"/>
      <c r="G32" s="491"/>
      <c r="H32" s="491"/>
      <c r="I32" s="491"/>
      <c r="J32" s="491"/>
      <c r="K32" s="491"/>
      <c r="L32" s="491"/>
      <c r="M32" s="491"/>
      <c r="N32" s="491"/>
      <c r="O32" s="533" t="str">
        <f>IF(TeamB!E4="","",TeamB!E4)</f>
        <v/>
      </c>
      <c r="P32" s="533"/>
      <c r="Q32" s="533"/>
      <c r="R32" s="533"/>
      <c r="S32" s="481"/>
      <c r="T32" s="493" t="str">
        <f>IF(TeamB!F4="","",TeamB!F4)</f>
        <v>G</v>
      </c>
      <c r="U32" s="587"/>
      <c r="V32" s="11"/>
      <c r="W32" s="406"/>
      <c r="X32" s="406"/>
      <c r="Y32" s="407"/>
      <c r="Z32" s="379"/>
      <c r="AA32" s="379"/>
      <c r="AB32" s="379"/>
      <c r="AC32" s="114"/>
      <c r="AD32" s="11"/>
      <c r="AE32" s="379"/>
      <c r="AF32" s="379"/>
      <c r="AG32" s="379"/>
      <c r="AH32" s="462"/>
      <c r="AI32" s="463"/>
      <c r="AJ32" s="624"/>
      <c r="AK32" s="625"/>
      <c r="AL32" s="625"/>
      <c r="AM32" s="625"/>
      <c r="AN32" s="625"/>
      <c r="AO32" s="626"/>
      <c r="AP32" s="406"/>
      <c r="AQ32" s="406"/>
      <c r="AR32" s="407"/>
      <c r="AS32" s="116"/>
      <c r="AT32" s="379"/>
      <c r="AU32" s="963"/>
      <c r="AV32" s="963"/>
      <c r="AW32" s="963"/>
      <c r="AX32" s="963"/>
      <c r="AY32" s="634" t="str">
        <f>IF(AP32="","",AP32)</f>
        <v/>
      </c>
      <c r="AZ32" s="407"/>
      <c r="BA32" s="634"/>
      <c r="BB32" s="958"/>
    </row>
    <row r="33" spans="1:54" s="2" customFormat="1" ht="12.6" customHeight="1" x14ac:dyDescent="0.2">
      <c r="A33" s="28">
        <f>IF(TeamB!C5="","",TeamB!C5)</f>
        <v>0</v>
      </c>
      <c r="B33" s="569" t="str">
        <f>IF(TeamB!D5="","",TeamB!D5)</f>
        <v>V   田村　宙志</v>
      </c>
      <c r="C33" s="570"/>
      <c r="D33" s="570"/>
      <c r="E33" s="570"/>
      <c r="F33" s="570"/>
      <c r="G33" s="570"/>
      <c r="H33" s="570"/>
      <c r="I33" s="570"/>
      <c r="J33" s="570"/>
      <c r="K33" s="570"/>
      <c r="L33" s="570"/>
      <c r="M33" s="570"/>
      <c r="N33" s="570"/>
      <c r="O33" s="580" t="str">
        <f>IF(TeamB!E5="","",TeamB!E5)</f>
        <v/>
      </c>
      <c r="P33" s="580"/>
      <c r="Q33" s="487"/>
      <c r="R33" s="526"/>
      <c r="S33" s="580"/>
      <c r="T33" s="586" t="str">
        <f>IF(TeamB!F5="","",TeamB!F5)</f>
        <v>G</v>
      </c>
      <c r="U33" s="586"/>
      <c r="V33" s="6"/>
      <c r="W33" s="406"/>
      <c r="X33" s="406"/>
      <c r="Y33" s="407"/>
      <c r="Z33" s="4"/>
      <c r="AA33" s="4"/>
      <c r="AB33" s="4"/>
      <c r="AC33" s="114"/>
      <c r="AD33" s="6"/>
      <c r="AE33" s="4"/>
      <c r="AF33" s="4"/>
      <c r="AG33" s="4"/>
      <c r="AH33" s="450"/>
      <c r="AI33" s="451"/>
      <c r="AJ33" s="624"/>
      <c r="AK33" s="625"/>
      <c r="AL33" s="625"/>
      <c r="AM33" s="625"/>
      <c r="AN33" s="625"/>
      <c r="AO33" s="626"/>
      <c r="AP33" s="406"/>
      <c r="AQ33" s="406"/>
      <c r="AR33" s="407"/>
      <c r="AS33" s="117"/>
      <c r="AT33" s="4"/>
      <c r="AU33" s="957"/>
      <c r="AV33" s="957"/>
      <c r="AW33" s="957"/>
      <c r="AX33" s="957"/>
      <c r="AY33" s="634" t="str">
        <f t="shared" ref="AY33:AY53" si="1">IF(AP33="","",AP33)</f>
        <v/>
      </c>
      <c r="AZ33" s="407"/>
      <c r="BA33" s="634"/>
      <c r="BB33" s="958"/>
    </row>
    <row r="34" spans="1:54" s="2" customFormat="1" ht="12.6" customHeight="1" x14ac:dyDescent="0.2">
      <c r="A34" s="29">
        <f>IF(TeamB!C6="","",TeamB!C6)</f>
        <v>0</v>
      </c>
      <c r="B34" s="490" t="str">
        <f>IF(TeamB!D6="","",TeamB!D6)</f>
        <v xml:space="preserve">      西村　憲</v>
      </c>
      <c r="C34" s="491"/>
      <c r="D34" s="491"/>
      <c r="E34" s="491"/>
      <c r="F34" s="491"/>
      <c r="G34" s="491"/>
      <c r="H34" s="491"/>
      <c r="I34" s="491"/>
      <c r="J34" s="491"/>
      <c r="K34" s="491"/>
      <c r="L34" s="491"/>
      <c r="M34" s="491"/>
      <c r="N34" s="491"/>
      <c r="O34" s="481" t="str">
        <f>IF(TeamB!E6="","",TeamB!E6)</f>
        <v>(A)</v>
      </c>
      <c r="P34" s="481"/>
      <c r="Q34" s="584"/>
      <c r="R34" s="481"/>
      <c r="S34" s="481"/>
      <c r="T34" s="493" t="str">
        <f>IF(TeamB!F6="","",TeamB!F6)</f>
        <v>D</v>
      </c>
      <c r="U34" s="494"/>
      <c r="V34" s="6"/>
      <c r="W34" s="406"/>
      <c r="X34" s="406"/>
      <c r="Y34" s="407"/>
      <c r="Z34" s="4"/>
      <c r="AA34" s="4"/>
      <c r="AB34" s="4"/>
      <c r="AC34" s="114"/>
      <c r="AD34" s="6"/>
      <c r="AE34" s="4"/>
      <c r="AF34" s="4"/>
      <c r="AG34" s="4"/>
      <c r="AH34" s="450"/>
      <c r="AI34" s="451"/>
      <c r="AJ34" s="624"/>
      <c r="AK34" s="625"/>
      <c r="AL34" s="625"/>
      <c r="AM34" s="625"/>
      <c r="AN34" s="625"/>
      <c r="AO34" s="626"/>
      <c r="AP34" s="406"/>
      <c r="AQ34" s="406"/>
      <c r="AR34" s="407"/>
      <c r="AS34" s="117"/>
      <c r="AT34" s="4"/>
      <c r="AU34" s="957"/>
      <c r="AV34" s="957"/>
      <c r="AW34" s="957"/>
      <c r="AX34" s="957"/>
      <c r="AY34" s="634" t="str">
        <f t="shared" si="1"/>
        <v/>
      </c>
      <c r="AZ34" s="407"/>
      <c r="BA34" s="634"/>
      <c r="BB34" s="958"/>
    </row>
    <row r="35" spans="1:54" s="2" customFormat="1" ht="12.6" customHeight="1" x14ac:dyDescent="0.2">
      <c r="A35" s="6">
        <f>IF(TeamB!C7="","",TeamB!C7)</f>
        <v>0</v>
      </c>
      <c r="B35" s="501" t="str">
        <f>IF(TeamB!D7="","",TeamB!D7)</f>
        <v xml:space="preserve">      木下　和則</v>
      </c>
      <c r="C35" s="502"/>
      <c r="D35" s="502"/>
      <c r="E35" s="502"/>
      <c r="F35" s="502"/>
      <c r="G35" s="502"/>
      <c r="H35" s="502"/>
      <c r="I35" s="502"/>
      <c r="J35" s="502"/>
      <c r="K35" s="502"/>
      <c r="L35" s="502"/>
      <c r="M35" s="502"/>
      <c r="N35" s="502"/>
      <c r="O35" s="495" t="str">
        <f>IF(TeamB!E7="","",TeamB!E7)</f>
        <v/>
      </c>
      <c r="P35" s="495"/>
      <c r="Q35" s="496"/>
      <c r="R35" s="495"/>
      <c r="S35" s="495"/>
      <c r="T35" s="474" t="str">
        <f>IF(TeamB!F7="","",TeamB!F7)</f>
        <v>D</v>
      </c>
      <c r="U35" s="475"/>
      <c r="V35" s="30"/>
      <c r="W35" s="406"/>
      <c r="X35" s="406"/>
      <c r="Y35" s="407"/>
      <c r="Z35" s="4"/>
      <c r="AA35" s="4"/>
      <c r="AB35" s="4"/>
      <c r="AC35" s="114"/>
      <c r="AD35" s="6"/>
      <c r="AE35" s="4"/>
      <c r="AF35" s="4"/>
      <c r="AG35" s="4"/>
      <c r="AH35" s="450"/>
      <c r="AI35" s="451"/>
      <c r="AJ35" s="624"/>
      <c r="AK35" s="625"/>
      <c r="AL35" s="625"/>
      <c r="AM35" s="625"/>
      <c r="AN35" s="625"/>
      <c r="AO35" s="626"/>
      <c r="AP35" s="406"/>
      <c r="AQ35" s="406"/>
      <c r="AR35" s="407"/>
      <c r="AS35" s="117"/>
      <c r="AT35" s="4"/>
      <c r="AU35" s="957"/>
      <c r="AV35" s="957"/>
      <c r="AW35" s="957"/>
      <c r="AX35" s="957"/>
      <c r="AY35" s="634" t="str">
        <f t="shared" si="1"/>
        <v/>
      </c>
      <c r="AZ35" s="407"/>
      <c r="BA35" s="634"/>
      <c r="BB35" s="958"/>
    </row>
    <row r="36" spans="1:54" s="2" customFormat="1" ht="12.6" customHeight="1" x14ac:dyDescent="0.2">
      <c r="A36" s="6">
        <f>IF(TeamB!C8="","",TeamB!C8)</f>
        <v>0</v>
      </c>
      <c r="B36" s="501" t="str">
        <f>IF(TeamB!D8="","",TeamB!D8)</f>
        <v xml:space="preserve">      佐藤　仁人</v>
      </c>
      <c r="C36" s="502"/>
      <c r="D36" s="502"/>
      <c r="E36" s="502"/>
      <c r="F36" s="502"/>
      <c r="G36" s="502"/>
      <c r="H36" s="502"/>
      <c r="I36" s="502"/>
      <c r="J36" s="502"/>
      <c r="K36" s="502"/>
      <c r="L36" s="502"/>
      <c r="M36" s="502"/>
      <c r="N36" s="502"/>
      <c r="O36" s="495" t="str">
        <f>IF(TeamB!E8="","",TeamB!E8)</f>
        <v>(A)</v>
      </c>
      <c r="P36" s="495"/>
      <c r="Q36" s="496"/>
      <c r="R36" s="495"/>
      <c r="S36" s="495"/>
      <c r="T36" s="474" t="str">
        <f>IF(TeamB!F8="","",TeamB!F8)</f>
        <v>D</v>
      </c>
      <c r="U36" s="475"/>
      <c r="V36" s="30"/>
      <c r="W36" s="406"/>
      <c r="X36" s="406"/>
      <c r="Y36" s="407"/>
      <c r="Z36" s="4"/>
      <c r="AA36" s="4"/>
      <c r="AB36" s="4"/>
      <c r="AC36" s="114"/>
      <c r="AD36" s="6"/>
      <c r="AE36" s="4"/>
      <c r="AF36" s="4"/>
      <c r="AG36" s="4"/>
      <c r="AH36" s="450"/>
      <c r="AI36" s="451"/>
      <c r="AJ36" s="624"/>
      <c r="AK36" s="625"/>
      <c r="AL36" s="625"/>
      <c r="AM36" s="625"/>
      <c r="AN36" s="625"/>
      <c r="AO36" s="626"/>
      <c r="AP36" s="406"/>
      <c r="AQ36" s="406"/>
      <c r="AR36" s="407"/>
      <c r="AS36" s="117"/>
      <c r="AT36" s="4"/>
      <c r="AU36" s="957"/>
      <c r="AV36" s="957"/>
      <c r="AW36" s="957"/>
      <c r="AX36" s="957"/>
      <c r="AY36" s="634" t="str">
        <f t="shared" si="1"/>
        <v/>
      </c>
      <c r="AZ36" s="407"/>
      <c r="BA36" s="634"/>
      <c r="BB36" s="958"/>
    </row>
    <row r="37" spans="1:54" s="2" customFormat="1" ht="12.6" customHeight="1" x14ac:dyDescent="0.2">
      <c r="A37" s="6">
        <f>IF(TeamB!C9="","",TeamB!C9)</f>
        <v>0</v>
      </c>
      <c r="B37" s="501" t="str">
        <f>IF(TeamB!D9="","",TeamB!D9)</f>
        <v xml:space="preserve">      岩本　純</v>
      </c>
      <c r="C37" s="502"/>
      <c r="D37" s="502"/>
      <c r="E37" s="502"/>
      <c r="F37" s="502"/>
      <c r="G37" s="502"/>
      <c r="H37" s="502"/>
      <c r="I37" s="502"/>
      <c r="J37" s="502"/>
      <c r="K37" s="502"/>
      <c r="L37" s="502"/>
      <c r="M37" s="502"/>
      <c r="N37" s="502"/>
      <c r="O37" s="495" t="str">
        <f>IF(TeamB!E9="","",TeamB!E9)</f>
        <v/>
      </c>
      <c r="P37" s="495"/>
      <c r="Q37" s="496"/>
      <c r="R37" s="495"/>
      <c r="S37" s="496"/>
      <c r="T37" s="474" t="str">
        <f>IF(TeamB!F9="","",TeamB!F9)</f>
        <v>D</v>
      </c>
      <c r="U37" s="585"/>
      <c r="V37" s="30"/>
      <c r="W37" s="406"/>
      <c r="X37" s="406"/>
      <c r="Y37" s="407"/>
      <c r="Z37" s="4"/>
      <c r="AA37" s="4"/>
      <c r="AB37" s="4"/>
      <c r="AC37" s="114"/>
      <c r="AD37" s="6"/>
      <c r="AE37" s="4"/>
      <c r="AF37" s="4"/>
      <c r="AG37" s="4"/>
      <c r="AH37" s="450"/>
      <c r="AI37" s="451"/>
      <c r="AJ37" s="624"/>
      <c r="AK37" s="625"/>
      <c r="AL37" s="625"/>
      <c r="AM37" s="625"/>
      <c r="AN37" s="625"/>
      <c r="AO37" s="626"/>
      <c r="AP37" s="406"/>
      <c r="AQ37" s="406"/>
      <c r="AR37" s="407"/>
      <c r="AS37" s="117"/>
      <c r="AT37" s="4"/>
      <c r="AU37" s="957"/>
      <c r="AV37" s="957"/>
      <c r="AW37" s="957"/>
      <c r="AX37" s="957"/>
      <c r="AY37" s="634" t="str">
        <f t="shared" si="1"/>
        <v/>
      </c>
      <c r="AZ37" s="407"/>
      <c r="BA37" s="634"/>
      <c r="BB37" s="958"/>
    </row>
    <row r="38" spans="1:54" s="2" customFormat="1" ht="12.6" customHeight="1" x14ac:dyDescent="0.2">
      <c r="A38" s="31">
        <f>IF(TeamB!C10="","",TeamB!C10)</f>
        <v>0</v>
      </c>
      <c r="B38" s="569" t="str">
        <f>IF(TeamB!D10="","",TeamB!D10)</f>
        <v xml:space="preserve">      賀川　寛之</v>
      </c>
      <c r="C38" s="570"/>
      <c r="D38" s="570"/>
      <c r="E38" s="570"/>
      <c r="F38" s="570"/>
      <c r="G38" s="570"/>
      <c r="H38" s="570"/>
      <c r="I38" s="570"/>
      <c r="J38" s="570"/>
      <c r="K38" s="570"/>
      <c r="L38" s="570"/>
      <c r="M38" s="570"/>
      <c r="N38" s="570"/>
      <c r="O38" s="526" t="str">
        <f>IF(TeamB!E10="","",TeamB!E10)</f>
        <v/>
      </c>
      <c r="P38" s="526"/>
      <c r="Q38" s="487"/>
      <c r="R38" s="526"/>
      <c r="S38" s="487"/>
      <c r="T38" s="538">
        <f>IF(TeamB!F10="","",TeamB!F10)</f>
        <v>0</v>
      </c>
      <c r="U38" s="488"/>
      <c r="V38" s="30"/>
      <c r="W38" s="406"/>
      <c r="X38" s="406"/>
      <c r="Y38" s="407"/>
      <c r="Z38" s="4"/>
      <c r="AA38" s="4"/>
      <c r="AB38" s="4"/>
      <c r="AC38" s="114"/>
      <c r="AD38" s="6"/>
      <c r="AE38" s="4"/>
      <c r="AF38" s="4"/>
      <c r="AG38" s="4"/>
      <c r="AH38" s="450"/>
      <c r="AI38" s="451"/>
      <c r="AJ38" s="624"/>
      <c r="AK38" s="625"/>
      <c r="AL38" s="625"/>
      <c r="AM38" s="625"/>
      <c r="AN38" s="625"/>
      <c r="AO38" s="626"/>
      <c r="AP38" s="406"/>
      <c r="AQ38" s="406"/>
      <c r="AR38" s="407"/>
      <c r="AS38" s="117"/>
      <c r="AT38" s="4"/>
      <c r="AU38" s="957"/>
      <c r="AV38" s="957"/>
      <c r="AW38" s="957"/>
      <c r="AX38" s="957"/>
      <c r="AY38" s="634" t="str">
        <f t="shared" si="1"/>
        <v/>
      </c>
      <c r="AZ38" s="407"/>
      <c r="BA38" s="634"/>
      <c r="BB38" s="958"/>
    </row>
    <row r="39" spans="1:54" s="2" customFormat="1" ht="12.6" customHeight="1" x14ac:dyDescent="0.2">
      <c r="A39" s="11">
        <f>IF(TeamB!C11="","",TeamB!C11)</f>
        <v>0</v>
      </c>
      <c r="B39" s="490" t="str">
        <f>IF(TeamB!D11="","",TeamB!D11)</f>
        <v xml:space="preserve">      塩谷　雅之</v>
      </c>
      <c r="C39" s="491"/>
      <c r="D39" s="491"/>
      <c r="E39" s="491"/>
      <c r="F39" s="491"/>
      <c r="G39" s="491"/>
      <c r="H39" s="491"/>
      <c r="I39" s="491"/>
      <c r="J39" s="491"/>
      <c r="K39" s="491"/>
      <c r="L39" s="491"/>
      <c r="M39" s="491"/>
      <c r="N39" s="491"/>
      <c r="O39" s="434" t="str">
        <f>IF(TeamB!E11="","",TeamB!E11)</f>
        <v/>
      </c>
      <c r="P39" s="434"/>
      <c r="Q39" s="492"/>
      <c r="R39" s="434"/>
      <c r="S39" s="492"/>
      <c r="T39" s="397">
        <f>IF(TeamB!F11="","",TeamB!F11)</f>
        <v>0</v>
      </c>
      <c r="U39" s="397"/>
      <c r="V39" s="30"/>
      <c r="W39" s="406"/>
      <c r="X39" s="406"/>
      <c r="Y39" s="407"/>
      <c r="Z39" s="4"/>
      <c r="AA39" s="4"/>
      <c r="AB39" s="4"/>
      <c r="AC39" s="114"/>
      <c r="AD39" s="6"/>
      <c r="AE39" s="4"/>
      <c r="AF39" s="4"/>
      <c r="AG39" s="4"/>
      <c r="AH39" s="450"/>
      <c r="AI39" s="451"/>
      <c r="AJ39" s="624"/>
      <c r="AK39" s="625"/>
      <c r="AL39" s="625"/>
      <c r="AM39" s="625"/>
      <c r="AN39" s="625"/>
      <c r="AO39" s="626"/>
      <c r="AP39" s="406"/>
      <c r="AQ39" s="406"/>
      <c r="AR39" s="407"/>
      <c r="AS39" s="117"/>
      <c r="AT39" s="4"/>
      <c r="AU39" s="957"/>
      <c r="AV39" s="957"/>
      <c r="AW39" s="957"/>
      <c r="AX39" s="957"/>
      <c r="AY39" s="634" t="str">
        <f t="shared" si="1"/>
        <v/>
      </c>
      <c r="AZ39" s="407"/>
      <c r="BA39" s="634"/>
      <c r="BB39" s="958"/>
    </row>
    <row r="40" spans="1:54" s="2" customFormat="1" ht="12.6" customHeight="1" x14ac:dyDescent="0.2">
      <c r="A40" s="6">
        <f>IF(TeamB!C12="","",TeamB!C12)</f>
        <v>0</v>
      </c>
      <c r="B40" s="501" t="str">
        <f>IF(TeamB!D12="","",TeamB!D12)</f>
        <v xml:space="preserve">      次田　智一</v>
      </c>
      <c r="C40" s="502"/>
      <c r="D40" s="502"/>
      <c r="E40" s="502"/>
      <c r="F40" s="502"/>
      <c r="G40" s="502"/>
      <c r="H40" s="502"/>
      <c r="I40" s="502"/>
      <c r="J40" s="502"/>
      <c r="K40" s="502"/>
      <c r="L40" s="502"/>
      <c r="M40" s="502"/>
      <c r="N40" s="502"/>
      <c r="O40" s="495" t="str">
        <f>IF(TeamB!E12="","",TeamB!E12)</f>
        <v/>
      </c>
      <c r="P40" s="495"/>
      <c r="Q40" s="496"/>
      <c r="R40" s="495"/>
      <c r="S40" s="496"/>
      <c r="T40" s="474">
        <f>IF(TeamB!F12="","",TeamB!F12)</f>
        <v>0</v>
      </c>
      <c r="U40" s="474"/>
      <c r="V40" s="30"/>
      <c r="W40" s="406"/>
      <c r="X40" s="406"/>
      <c r="Y40" s="407"/>
      <c r="Z40" s="4"/>
      <c r="AA40" s="4"/>
      <c r="AB40" s="4"/>
      <c r="AC40" s="114"/>
      <c r="AD40" s="6"/>
      <c r="AE40" s="4"/>
      <c r="AF40" s="4"/>
      <c r="AG40" s="4"/>
      <c r="AH40" s="450"/>
      <c r="AI40" s="451"/>
      <c r="AJ40" s="624"/>
      <c r="AK40" s="625"/>
      <c r="AL40" s="625"/>
      <c r="AM40" s="625"/>
      <c r="AN40" s="625"/>
      <c r="AO40" s="626"/>
      <c r="AP40" s="406"/>
      <c r="AQ40" s="406"/>
      <c r="AR40" s="407"/>
      <c r="AS40" s="118"/>
      <c r="AT40" s="4"/>
      <c r="AU40" s="957"/>
      <c r="AV40" s="957"/>
      <c r="AW40" s="957"/>
      <c r="AX40" s="957"/>
      <c r="AY40" s="634" t="str">
        <f t="shared" si="1"/>
        <v/>
      </c>
      <c r="AZ40" s="407"/>
      <c r="BA40" s="634"/>
      <c r="BB40" s="958"/>
    </row>
    <row r="41" spans="1:54" s="2" customFormat="1" ht="12.6" customHeight="1" x14ac:dyDescent="0.2">
      <c r="A41" s="6">
        <f>IF(TeamB!C13="","",TeamB!C13)</f>
        <v>0</v>
      </c>
      <c r="B41" s="501" t="str">
        <f>IF(TeamB!D13="","",TeamB!D13)</f>
        <v xml:space="preserve">      岸田　考広</v>
      </c>
      <c r="C41" s="502"/>
      <c r="D41" s="502"/>
      <c r="E41" s="502"/>
      <c r="F41" s="502"/>
      <c r="G41" s="502"/>
      <c r="H41" s="502"/>
      <c r="I41" s="502"/>
      <c r="J41" s="502"/>
      <c r="K41" s="502"/>
      <c r="L41" s="502"/>
      <c r="M41" s="502"/>
      <c r="N41" s="502"/>
      <c r="O41" s="495" t="str">
        <f>IF(TeamB!E13="","",TeamB!E13)</f>
        <v/>
      </c>
      <c r="P41" s="495"/>
      <c r="Q41" s="496"/>
      <c r="R41" s="495"/>
      <c r="S41" s="496"/>
      <c r="T41" s="474">
        <f>IF(TeamB!F13="","",TeamB!F13)</f>
        <v>0</v>
      </c>
      <c r="U41" s="474"/>
      <c r="V41" s="30"/>
      <c r="W41" s="406"/>
      <c r="X41" s="406"/>
      <c r="Y41" s="407"/>
      <c r="Z41" s="4"/>
      <c r="AA41" s="4"/>
      <c r="AB41" s="4"/>
      <c r="AC41" s="114"/>
      <c r="AD41" s="6"/>
      <c r="AE41" s="4"/>
      <c r="AF41" s="4"/>
      <c r="AG41" s="4"/>
      <c r="AH41" s="450"/>
      <c r="AI41" s="451"/>
      <c r="AJ41" s="624"/>
      <c r="AK41" s="625"/>
      <c r="AL41" s="625"/>
      <c r="AM41" s="625"/>
      <c r="AN41" s="625"/>
      <c r="AO41" s="626"/>
      <c r="AP41" s="406"/>
      <c r="AQ41" s="406"/>
      <c r="AR41" s="407"/>
      <c r="AS41" s="118"/>
      <c r="AT41" s="4"/>
      <c r="AU41" s="957"/>
      <c r="AV41" s="957"/>
      <c r="AW41" s="957"/>
      <c r="AX41" s="957"/>
      <c r="AY41" s="634" t="str">
        <f t="shared" si="1"/>
        <v/>
      </c>
      <c r="AZ41" s="407"/>
      <c r="BA41" s="634"/>
      <c r="BB41" s="958"/>
    </row>
    <row r="42" spans="1:54" s="2" customFormat="1" ht="12.6" customHeight="1" x14ac:dyDescent="0.2">
      <c r="A42" s="6">
        <f>IF(TeamB!C14="","",TeamB!C14)</f>
        <v>0</v>
      </c>
      <c r="B42" s="501" t="str">
        <f>IF(TeamB!D14="","",TeamB!D14)</f>
        <v xml:space="preserve">      竹内　誠司</v>
      </c>
      <c r="C42" s="502"/>
      <c r="D42" s="502"/>
      <c r="E42" s="502"/>
      <c r="F42" s="502"/>
      <c r="G42" s="502"/>
      <c r="H42" s="502"/>
      <c r="I42" s="502"/>
      <c r="J42" s="502"/>
      <c r="K42" s="502"/>
      <c r="L42" s="502"/>
      <c r="M42" s="502"/>
      <c r="N42" s="502"/>
      <c r="O42" s="495" t="str">
        <f>IF(TeamB!E14="","",TeamB!E14)</f>
        <v/>
      </c>
      <c r="P42" s="495"/>
      <c r="Q42" s="496"/>
      <c r="R42" s="495"/>
      <c r="S42" s="496"/>
      <c r="T42" s="474">
        <f>IF(TeamB!F14="","",TeamB!F14)</f>
        <v>0</v>
      </c>
      <c r="U42" s="474"/>
      <c r="V42" s="30"/>
      <c r="W42" s="406"/>
      <c r="X42" s="406"/>
      <c r="Y42" s="407"/>
      <c r="Z42" s="4"/>
      <c r="AA42" s="4"/>
      <c r="AB42" s="4"/>
      <c r="AC42" s="114"/>
      <c r="AD42" s="6"/>
      <c r="AE42" s="4"/>
      <c r="AF42" s="4"/>
      <c r="AG42" s="4"/>
      <c r="AH42" s="450"/>
      <c r="AI42" s="451"/>
      <c r="AJ42" s="624"/>
      <c r="AK42" s="625"/>
      <c r="AL42" s="625"/>
      <c r="AM42" s="625"/>
      <c r="AN42" s="625"/>
      <c r="AO42" s="626"/>
      <c r="AP42" s="406"/>
      <c r="AQ42" s="406"/>
      <c r="AR42" s="407"/>
      <c r="AS42" s="118"/>
      <c r="AT42" s="4"/>
      <c r="AU42" s="957"/>
      <c r="AV42" s="957"/>
      <c r="AW42" s="957"/>
      <c r="AX42" s="957"/>
      <c r="AY42" s="634" t="str">
        <f t="shared" si="1"/>
        <v/>
      </c>
      <c r="AZ42" s="407"/>
      <c r="BA42" s="634"/>
      <c r="BB42" s="958"/>
    </row>
    <row r="43" spans="1:54" s="2" customFormat="1" ht="12.6" customHeight="1" x14ac:dyDescent="0.2">
      <c r="A43" s="28">
        <f>IF(TeamB!C15="","",TeamB!C15)</f>
        <v>0</v>
      </c>
      <c r="B43" s="569" t="str">
        <f>IF(TeamB!D15="","",TeamB!D15)</f>
        <v xml:space="preserve">      勝山　栄</v>
      </c>
      <c r="C43" s="570"/>
      <c r="D43" s="570"/>
      <c r="E43" s="570"/>
      <c r="F43" s="570"/>
      <c r="G43" s="570"/>
      <c r="H43" s="570"/>
      <c r="I43" s="570"/>
      <c r="J43" s="570"/>
      <c r="K43" s="570"/>
      <c r="L43" s="570"/>
      <c r="M43" s="570"/>
      <c r="N43" s="570"/>
      <c r="O43" s="580" t="str">
        <f>IF(TeamB!E15="","",TeamB!E15)</f>
        <v/>
      </c>
      <c r="P43" s="580"/>
      <c r="Q43" s="581"/>
      <c r="R43" s="580"/>
      <c r="S43" s="581"/>
      <c r="T43" s="586">
        <f>IF(TeamB!F15="","",TeamB!F15)</f>
        <v>0</v>
      </c>
      <c r="U43" s="586"/>
      <c r="V43" s="30"/>
      <c r="W43" s="406"/>
      <c r="X43" s="406"/>
      <c r="Y43" s="407"/>
      <c r="Z43" s="4"/>
      <c r="AA43" s="4"/>
      <c r="AB43" s="4"/>
      <c r="AC43" s="114"/>
      <c r="AD43" s="6"/>
      <c r="AE43" s="4"/>
      <c r="AF43" s="4"/>
      <c r="AG43" s="4"/>
      <c r="AH43" s="450"/>
      <c r="AI43" s="451"/>
      <c r="AJ43" s="624"/>
      <c r="AK43" s="625"/>
      <c r="AL43" s="625"/>
      <c r="AM43" s="625"/>
      <c r="AN43" s="625"/>
      <c r="AO43" s="626"/>
      <c r="AP43" s="406"/>
      <c r="AQ43" s="406"/>
      <c r="AR43" s="407"/>
      <c r="AS43" s="118"/>
      <c r="AT43" s="4"/>
      <c r="AU43" s="957"/>
      <c r="AV43" s="957"/>
      <c r="AW43" s="957"/>
      <c r="AX43" s="957"/>
      <c r="AY43" s="634" t="str">
        <f t="shared" si="1"/>
        <v/>
      </c>
      <c r="AZ43" s="407"/>
      <c r="BA43" s="634"/>
      <c r="BB43" s="958"/>
    </row>
    <row r="44" spans="1:54" s="2" customFormat="1" ht="12.6" customHeight="1" x14ac:dyDescent="0.2">
      <c r="A44" s="29">
        <f>IF(TeamB!C16="","",TeamB!C16)</f>
        <v>0</v>
      </c>
      <c r="B44" s="490" t="str">
        <f>IF(TeamB!D16="","",TeamB!D16)</f>
        <v xml:space="preserve">      斎　理</v>
      </c>
      <c r="C44" s="491"/>
      <c r="D44" s="491"/>
      <c r="E44" s="491"/>
      <c r="F44" s="491"/>
      <c r="G44" s="491"/>
      <c r="H44" s="491"/>
      <c r="I44" s="491"/>
      <c r="J44" s="491"/>
      <c r="K44" s="491"/>
      <c r="L44" s="491"/>
      <c r="M44" s="491"/>
      <c r="N44" s="491"/>
      <c r="O44" s="481" t="str">
        <f>IF(TeamB!E16="","",TeamB!E16)</f>
        <v/>
      </c>
      <c r="P44" s="481"/>
      <c r="Q44" s="584"/>
      <c r="R44" s="481"/>
      <c r="S44" s="584"/>
      <c r="T44" s="493">
        <f>IF(TeamB!F16="","",TeamB!F16)</f>
        <v>0</v>
      </c>
      <c r="U44" s="494"/>
      <c r="V44" s="30"/>
      <c r="W44" s="406"/>
      <c r="X44" s="406"/>
      <c r="Y44" s="407"/>
      <c r="Z44" s="4"/>
      <c r="AA44" s="4"/>
      <c r="AB44" s="4"/>
      <c r="AC44" s="114"/>
      <c r="AD44" s="6"/>
      <c r="AE44" s="4"/>
      <c r="AF44" s="4"/>
      <c r="AG44" s="4"/>
      <c r="AH44" s="450"/>
      <c r="AI44" s="451"/>
      <c r="AJ44" s="624"/>
      <c r="AK44" s="625"/>
      <c r="AL44" s="625"/>
      <c r="AM44" s="625"/>
      <c r="AN44" s="625"/>
      <c r="AO44" s="626"/>
      <c r="AP44" s="406"/>
      <c r="AQ44" s="406"/>
      <c r="AR44" s="407"/>
      <c r="AS44" s="118"/>
      <c r="AT44" s="4"/>
      <c r="AU44" s="957"/>
      <c r="AV44" s="957"/>
      <c r="AW44" s="957"/>
      <c r="AX44" s="957"/>
      <c r="AY44" s="634" t="str">
        <f t="shared" si="1"/>
        <v/>
      </c>
      <c r="AZ44" s="407"/>
      <c r="BA44" s="634"/>
      <c r="BB44" s="958"/>
    </row>
    <row r="45" spans="1:54" s="2" customFormat="1" ht="12.6" customHeight="1" x14ac:dyDescent="0.2">
      <c r="A45" s="6">
        <f>IF(TeamB!C17="","",TeamB!C17)</f>
        <v>0</v>
      </c>
      <c r="B45" s="501" t="str">
        <f>IF(TeamB!D17="","",TeamB!D17)</f>
        <v>V   萩原　拓</v>
      </c>
      <c r="C45" s="502"/>
      <c r="D45" s="502"/>
      <c r="E45" s="502"/>
      <c r="F45" s="502"/>
      <c r="G45" s="502"/>
      <c r="H45" s="502"/>
      <c r="I45" s="502"/>
      <c r="J45" s="502"/>
      <c r="K45" s="502"/>
      <c r="L45" s="502"/>
      <c r="M45" s="502"/>
      <c r="N45" s="502"/>
      <c r="O45" s="495" t="str">
        <f>IF(TeamB!E17="","",TeamB!E17)</f>
        <v/>
      </c>
      <c r="P45" s="495"/>
      <c r="Q45" s="496"/>
      <c r="R45" s="495"/>
      <c r="S45" s="496"/>
      <c r="T45" s="474">
        <f>IF(TeamB!F17="","",TeamB!F17)</f>
        <v>0</v>
      </c>
      <c r="U45" s="475"/>
      <c r="V45" s="30"/>
      <c r="W45" s="406"/>
      <c r="X45" s="406"/>
      <c r="Y45" s="407"/>
      <c r="Z45" s="4"/>
      <c r="AA45" s="4"/>
      <c r="AB45" s="4"/>
      <c r="AC45" s="114"/>
      <c r="AD45" s="6"/>
      <c r="AE45" s="4"/>
      <c r="AF45" s="4"/>
      <c r="AG45" s="4"/>
      <c r="AH45" s="450"/>
      <c r="AI45" s="451"/>
      <c r="AJ45" s="624"/>
      <c r="AK45" s="625"/>
      <c r="AL45" s="625"/>
      <c r="AM45" s="625"/>
      <c r="AN45" s="625"/>
      <c r="AO45" s="626"/>
      <c r="AP45" s="406"/>
      <c r="AQ45" s="406"/>
      <c r="AR45" s="407"/>
      <c r="AS45" s="118"/>
      <c r="AT45" s="4"/>
      <c r="AU45" s="957"/>
      <c r="AV45" s="957"/>
      <c r="AW45" s="957"/>
      <c r="AX45" s="957"/>
      <c r="AY45" s="634" t="str">
        <f t="shared" si="1"/>
        <v/>
      </c>
      <c r="AZ45" s="407"/>
      <c r="BA45" s="634"/>
      <c r="BB45" s="958"/>
    </row>
    <row r="46" spans="1:54" s="2" customFormat="1" ht="12.6" customHeight="1" x14ac:dyDescent="0.2">
      <c r="A46" s="6">
        <f>IF(TeamB!C18="","",TeamB!C18)</f>
        <v>0</v>
      </c>
      <c r="B46" s="501" t="str">
        <f>IF(TeamB!D18="","",TeamB!D18)</f>
        <v>V   岩崎　佑樹</v>
      </c>
      <c r="C46" s="502"/>
      <c r="D46" s="502"/>
      <c r="E46" s="502"/>
      <c r="F46" s="502"/>
      <c r="G46" s="502"/>
      <c r="H46" s="502"/>
      <c r="I46" s="502"/>
      <c r="J46" s="502"/>
      <c r="K46" s="502"/>
      <c r="L46" s="502"/>
      <c r="M46" s="502"/>
      <c r="N46" s="502"/>
      <c r="O46" s="495" t="str">
        <f>IF(TeamB!E18="","",TeamB!E18)</f>
        <v/>
      </c>
      <c r="P46" s="495"/>
      <c r="Q46" s="496"/>
      <c r="R46" s="495"/>
      <c r="S46" s="496"/>
      <c r="T46" s="474">
        <f>IF(TeamB!F18="","",TeamB!F18)</f>
        <v>0</v>
      </c>
      <c r="U46" s="475"/>
      <c r="V46" s="30"/>
      <c r="W46" s="406"/>
      <c r="X46" s="406"/>
      <c r="Y46" s="407"/>
      <c r="Z46" s="4"/>
      <c r="AA46" s="4"/>
      <c r="AB46" s="4"/>
      <c r="AC46" s="114"/>
      <c r="AD46" s="6"/>
      <c r="AE46" s="4"/>
      <c r="AF46" s="4"/>
      <c r="AG46" s="4"/>
      <c r="AH46" s="450"/>
      <c r="AI46" s="451"/>
      <c r="AJ46" s="624"/>
      <c r="AK46" s="625"/>
      <c r="AL46" s="625"/>
      <c r="AM46" s="625"/>
      <c r="AN46" s="625"/>
      <c r="AO46" s="626"/>
      <c r="AP46" s="406"/>
      <c r="AQ46" s="406"/>
      <c r="AR46" s="407"/>
      <c r="AS46" s="118"/>
      <c r="AT46" s="4"/>
      <c r="AU46" s="957"/>
      <c r="AV46" s="957"/>
      <c r="AW46" s="957"/>
      <c r="AX46" s="957"/>
      <c r="AY46" s="634" t="str">
        <f t="shared" si="1"/>
        <v/>
      </c>
      <c r="AZ46" s="407"/>
      <c r="BA46" s="634"/>
      <c r="BB46" s="958"/>
    </row>
    <row r="47" spans="1:54" s="2" customFormat="1" ht="12.6" customHeight="1" x14ac:dyDescent="0.2">
      <c r="A47" s="6">
        <f>IF(TeamB!C19="","",TeamB!C19)</f>
        <v>0</v>
      </c>
      <c r="B47" s="501" t="str">
        <f>IF(TeamB!D19="","",TeamB!D19)</f>
        <v>V   鈴木　政洋</v>
      </c>
      <c r="C47" s="502"/>
      <c r="D47" s="502"/>
      <c r="E47" s="502"/>
      <c r="F47" s="502"/>
      <c r="G47" s="502"/>
      <c r="H47" s="502"/>
      <c r="I47" s="502"/>
      <c r="J47" s="502"/>
      <c r="K47" s="502"/>
      <c r="L47" s="502"/>
      <c r="M47" s="502"/>
      <c r="N47" s="502"/>
      <c r="O47" s="495" t="str">
        <f>IF(TeamB!E19="","",TeamB!E19)</f>
        <v>(C)</v>
      </c>
      <c r="P47" s="495"/>
      <c r="Q47" s="496"/>
      <c r="R47" s="495"/>
      <c r="S47" s="496"/>
      <c r="T47" s="474">
        <f>IF(TeamB!F19="","",TeamB!F19)</f>
        <v>0</v>
      </c>
      <c r="U47" s="475"/>
      <c r="V47" s="30"/>
      <c r="W47" s="406"/>
      <c r="X47" s="406"/>
      <c r="Y47" s="407"/>
      <c r="Z47" s="4"/>
      <c r="AA47" s="4"/>
      <c r="AB47" s="4"/>
      <c r="AC47" s="114"/>
      <c r="AD47" s="6"/>
      <c r="AE47" s="4"/>
      <c r="AF47" s="4"/>
      <c r="AG47" s="4"/>
      <c r="AH47" s="450"/>
      <c r="AI47" s="451"/>
      <c r="AJ47" s="624"/>
      <c r="AK47" s="625"/>
      <c r="AL47" s="625"/>
      <c r="AM47" s="625"/>
      <c r="AN47" s="625"/>
      <c r="AO47" s="626"/>
      <c r="AP47" s="406"/>
      <c r="AQ47" s="406"/>
      <c r="AR47" s="407"/>
      <c r="AS47" s="118"/>
      <c r="AT47" s="4"/>
      <c r="AU47" s="957"/>
      <c r="AV47" s="957"/>
      <c r="AW47" s="957"/>
      <c r="AX47" s="957"/>
      <c r="AY47" s="634" t="str">
        <f t="shared" si="1"/>
        <v/>
      </c>
      <c r="AZ47" s="407"/>
      <c r="BA47" s="634"/>
      <c r="BB47" s="958"/>
    </row>
    <row r="48" spans="1:54" s="2" customFormat="1" ht="12.6" customHeight="1" x14ac:dyDescent="0.2">
      <c r="A48" s="31">
        <f>IF(TeamB!C20="","",TeamB!C20)</f>
        <v>0</v>
      </c>
      <c r="B48" s="569" t="str">
        <f>IF(TeamB!D20="","",TeamB!D20)</f>
        <v>V   長尾　翔太</v>
      </c>
      <c r="C48" s="570"/>
      <c r="D48" s="570"/>
      <c r="E48" s="570"/>
      <c r="F48" s="570"/>
      <c r="G48" s="570"/>
      <c r="H48" s="570"/>
      <c r="I48" s="570"/>
      <c r="J48" s="570"/>
      <c r="K48" s="570"/>
      <c r="L48" s="570"/>
      <c r="M48" s="570"/>
      <c r="N48" s="570"/>
      <c r="O48" s="526" t="str">
        <f>IF(TeamB!E20="","",TeamB!E20)</f>
        <v/>
      </c>
      <c r="P48" s="526"/>
      <c r="Q48" s="487"/>
      <c r="R48" s="526"/>
      <c r="S48" s="487"/>
      <c r="T48" s="538">
        <f>IF(TeamB!F20="","",TeamB!F20)</f>
        <v>0</v>
      </c>
      <c r="U48" s="488"/>
      <c r="V48" s="30"/>
      <c r="W48" s="406"/>
      <c r="X48" s="406"/>
      <c r="Y48" s="407"/>
      <c r="Z48" s="4"/>
      <c r="AA48" s="4"/>
      <c r="AB48" s="4"/>
      <c r="AC48" s="114"/>
      <c r="AD48" s="6"/>
      <c r="AE48" s="4"/>
      <c r="AF48" s="4"/>
      <c r="AG48" s="4"/>
      <c r="AH48" s="450"/>
      <c r="AI48" s="451"/>
      <c r="AJ48" s="624"/>
      <c r="AK48" s="625"/>
      <c r="AL48" s="625"/>
      <c r="AM48" s="625"/>
      <c r="AN48" s="625"/>
      <c r="AO48" s="626"/>
      <c r="AP48" s="406"/>
      <c r="AQ48" s="406"/>
      <c r="AR48" s="407"/>
      <c r="AS48" s="118"/>
      <c r="AT48" s="4"/>
      <c r="AU48" s="957"/>
      <c r="AV48" s="957"/>
      <c r="AW48" s="957"/>
      <c r="AX48" s="957"/>
      <c r="AY48" s="634" t="str">
        <f t="shared" si="1"/>
        <v/>
      </c>
      <c r="AZ48" s="407"/>
      <c r="BA48" s="634"/>
      <c r="BB48" s="958"/>
    </row>
    <row r="49" spans="1:54" s="2" customFormat="1" ht="12.6" customHeight="1" x14ac:dyDescent="0.2">
      <c r="A49" s="11" t="str">
        <f>IF(TeamB!C21="","",TeamB!C21)</f>
        <v>-</v>
      </c>
      <c r="B49" s="490" t="str">
        <f>IF(TeamB!D21="","",TeamB!D21)</f>
        <v>-</v>
      </c>
      <c r="C49" s="491"/>
      <c r="D49" s="491"/>
      <c r="E49" s="491"/>
      <c r="F49" s="491"/>
      <c r="G49" s="491"/>
      <c r="H49" s="491"/>
      <c r="I49" s="491"/>
      <c r="J49" s="491"/>
      <c r="K49" s="491"/>
      <c r="L49" s="491"/>
      <c r="M49" s="491"/>
      <c r="N49" s="491"/>
      <c r="O49" s="434" t="str">
        <f>IF(TeamB!E21="","",TeamB!E21)</f>
        <v/>
      </c>
      <c r="P49" s="434"/>
      <c r="Q49" s="492"/>
      <c r="R49" s="434"/>
      <c r="S49" s="492"/>
      <c r="T49" s="397" t="str">
        <f>IF(TeamB!F21="","",TeamB!F21)</f>
        <v>-</v>
      </c>
      <c r="U49" s="397"/>
      <c r="V49" s="30"/>
      <c r="W49" s="406"/>
      <c r="X49" s="406"/>
      <c r="Y49" s="407"/>
      <c r="Z49" s="4"/>
      <c r="AA49" s="4"/>
      <c r="AB49" s="4"/>
      <c r="AC49" s="114"/>
      <c r="AD49" s="6"/>
      <c r="AE49" s="4"/>
      <c r="AF49" s="4"/>
      <c r="AG49" s="4"/>
      <c r="AH49" s="450"/>
      <c r="AI49" s="451"/>
      <c r="AJ49" s="624"/>
      <c r="AK49" s="625"/>
      <c r="AL49" s="625"/>
      <c r="AM49" s="625"/>
      <c r="AN49" s="625"/>
      <c r="AO49" s="626"/>
      <c r="AP49" s="406"/>
      <c r="AQ49" s="406"/>
      <c r="AR49" s="407"/>
      <c r="AS49" s="118"/>
      <c r="AT49" s="4"/>
      <c r="AU49" s="957"/>
      <c r="AV49" s="957"/>
      <c r="AW49" s="957"/>
      <c r="AX49" s="957"/>
      <c r="AY49" s="634" t="str">
        <f t="shared" si="1"/>
        <v/>
      </c>
      <c r="AZ49" s="407"/>
      <c r="BA49" s="634"/>
      <c r="BB49" s="958"/>
    </row>
    <row r="50" spans="1:54" s="2" customFormat="1" ht="12.6" customHeight="1" x14ac:dyDescent="0.2">
      <c r="A50" s="6" t="str">
        <f>IF(TeamB!C22="","",TeamB!C22)</f>
        <v>-</v>
      </c>
      <c r="B50" s="501" t="str">
        <f>IF(TeamB!D22="","",TeamB!D22)</f>
        <v>-</v>
      </c>
      <c r="C50" s="502"/>
      <c r="D50" s="502"/>
      <c r="E50" s="502"/>
      <c r="F50" s="502"/>
      <c r="G50" s="502"/>
      <c r="H50" s="502"/>
      <c r="I50" s="502"/>
      <c r="J50" s="502"/>
      <c r="K50" s="502"/>
      <c r="L50" s="502"/>
      <c r="M50" s="502"/>
      <c r="N50" s="502"/>
      <c r="O50" s="495" t="str">
        <f>IF(TeamB!E22="","",TeamB!E22)</f>
        <v/>
      </c>
      <c r="P50" s="495"/>
      <c r="Q50" s="496"/>
      <c r="R50" s="495"/>
      <c r="S50" s="496"/>
      <c r="T50" s="474" t="str">
        <f>IF(TeamB!F22="","",TeamB!F22)</f>
        <v>-</v>
      </c>
      <c r="U50" s="474"/>
      <c r="V50" s="30"/>
      <c r="W50" s="406"/>
      <c r="X50" s="406"/>
      <c r="Y50" s="407"/>
      <c r="Z50" s="4"/>
      <c r="AA50" s="4"/>
      <c r="AB50" s="4"/>
      <c r="AC50" s="114"/>
      <c r="AD50" s="6"/>
      <c r="AE50" s="4"/>
      <c r="AF50" s="4"/>
      <c r="AG50" s="4"/>
      <c r="AH50" s="450"/>
      <c r="AI50" s="451"/>
      <c r="AJ50" s="624"/>
      <c r="AK50" s="625"/>
      <c r="AL50" s="625"/>
      <c r="AM50" s="625"/>
      <c r="AN50" s="625"/>
      <c r="AO50" s="626"/>
      <c r="AP50" s="406"/>
      <c r="AQ50" s="406"/>
      <c r="AR50" s="407"/>
      <c r="AS50" s="118"/>
      <c r="AT50" s="4"/>
      <c r="AU50" s="957"/>
      <c r="AV50" s="957"/>
      <c r="AW50" s="957"/>
      <c r="AX50" s="957"/>
      <c r="AY50" s="634" t="str">
        <f t="shared" si="1"/>
        <v/>
      </c>
      <c r="AZ50" s="407"/>
      <c r="BA50" s="634"/>
      <c r="BB50" s="958"/>
    </row>
    <row r="51" spans="1:54" s="2" customFormat="1" ht="12.6" customHeight="1" x14ac:dyDescent="0.2">
      <c r="A51" s="6" t="str">
        <f>IF(TeamB!C23="","",TeamB!C23)</f>
        <v>-</v>
      </c>
      <c r="B51" s="501" t="str">
        <f>IF(TeamB!D23="","",TeamB!D23)</f>
        <v>-</v>
      </c>
      <c r="C51" s="502"/>
      <c r="D51" s="502"/>
      <c r="E51" s="502"/>
      <c r="F51" s="502"/>
      <c r="G51" s="502"/>
      <c r="H51" s="502"/>
      <c r="I51" s="502"/>
      <c r="J51" s="502"/>
      <c r="K51" s="502"/>
      <c r="L51" s="502"/>
      <c r="M51" s="502"/>
      <c r="N51" s="502"/>
      <c r="O51" s="495" t="str">
        <f>IF(TeamB!E23="","",TeamB!E23)</f>
        <v/>
      </c>
      <c r="P51" s="495"/>
      <c r="Q51" s="496"/>
      <c r="R51" s="495"/>
      <c r="S51" s="496"/>
      <c r="T51" s="474" t="str">
        <f>IF(TeamB!F23="","",TeamB!F23)</f>
        <v>-</v>
      </c>
      <c r="U51" s="474"/>
      <c r="V51" s="30"/>
      <c r="W51" s="406"/>
      <c r="X51" s="406"/>
      <c r="Y51" s="407"/>
      <c r="Z51" s="4"/>
      <c r="AA51" s="4"/>
      <c r="AB51" s="4"/>
      <c r="AC51" s="114"/>
      <c r="AD51" s="6"/>
      <c r="AE51" s="4"/>
      <c r="AF51" s="4"/>
      <c r="AG51" s="4"/>
      <c r="AH51" s="450"/>
      <c r="AI51" s="451"/>
      <c r="AJ51" s="624"/>
      <c r="AK51" s="625"/>
      <c r="AL51" s="625"/>
      <c r="AM51" s="625"/>
      <c r="AN51" s="625"/>
      <c r="AO51" s="626"/>
      <c r="AP51" s="406"/>
      <c r="AQ51" s="406"/>
      <c r="AR51" s="407"/>
      <c r="AS51" s="118"/>
      <c r="AT51" s="4"/>
      <c r="AU51" s="957"/>
      <c r="AV51" s="957"/>
      <c r="AW51" s="957"/>
      <c r="AX51" s="957"/>
      <c r="AY51" s="634" t="str">
        <f t="shared" si="1"/>
        <v/>
      </c>
      <c r="AZ51" s="407"/>
      <c r="BA51" s="634"/>
      <c r="BB51" s="958"/>
    </row>
    <row r="52" spans="1:54" s="2" customFormat="1" ht="12.6" customHeight="1" x14ac:dyDescent="0.2">
      <c r="A52" s="6" t="str">
        <f>IF(TeamB!C24="","",TeamB!C24)</f>
        <v>-</v>
      </c>
      <c r="B52" s="501" t="str">
        <f>IF(TeamB!D24="","",TeamB!D24)</f>
        <v>-</v>
      </c>
      <c r="C52" s="502"/>
      <c r="D52" s="502"/>
      <c r="E52" s="502"/>
      <c r="F52" s="502"/>
      <c r="G52" s="502"/>
      <c r="H52" s="502"/>
      <c r="I52" s="502"/>
      <c r="J52" s="502"/>
      <c r="K52" s="502"/>
      <c r="L52" s="502"/>
      <c r="M52" s="502"/>
      <c r="N52" s="502"/>
      <c r="O52" s="495" t="str">
        <f>IF(TeamB!E24="","",TeamB!E24)</f>
        <v/>
      </c>
      <c r="P52" s="495"/>
      <c r="Q52" s="496"/>
      <c r="R52" s="495"/>
      <c r="S52" s="496"/>
      <c r="T52" s="474" t="str">
        <f>IF(TeamB!F24="","",TeamB!F24)</f>
        <v>-</v>
      </c>
      <c r="U52" s="474"/>
      <c r="V52" s="30"/>
      <c r="W52" s="406"/>
      <c r="X52" s="406"/>
      <c r="Y52" s="407"/>
      <c r="Z52" s="4"/>
      <c r="AA52" s="4"/>
      <c r="AB52" s="4"/>
      <c r="AC52" s="114"/>
      <c r="AD52" s="31"/>
      <c r="AE52" s="378"/>
      <c r="AF52" s="378"/>
      <c r="AG52" s="378"/>
      <c r="AH52" s="588"/>
      <c r="AI52" s="589"/>
      <c r="AJ52" s="624"/>
      <c r="AK52" s="625"/>
      <c r="AL52" s="625"/>
      <c r="AM52" s="625"/>
      <c r="AN52" s="625"/>
      <c r="AO52" s="626"/>
      <c r="AP52" s="406"/>
      <c r="AQ52" s="406"/>
      <c r="AR52" s="407"/>
      <c r="AS52" s="118"/>
      <c r="AT52" s="4"/>
      <c r="AU52" s="957"/>
      <c r="AV52" s="957"/>
      <c r="AW52" s="957"/>
      <c r="AX52" s="957"/>
      <c r="AY52" s="634" t="str">
        <f t="shared" si="1"/>
        <v/>
      </c>
      <c r="AZ52" s="407"/>
      <c r="BA52" s="634"/>
      <c r="BB52" s="958"/>
    </row>
    <row r="53" spans="1:54" s="2" customFormat="1" ht="12" customHeight="1" x14ac:dyDescent="0.2">
      <c r="A53" s="31" t="str">
        <f>IF(TeamB!C25="","",TeamB!C25)</f>
        <v>-</v>
      </c>
      <c r="B53" s="569" t="str">
        <f>IF(TeamB!D25="","",TeamB!D25)</f>
        <v>-</v>
      </c>
      <c r="C53" s="570"/>
      <c r="D53" s="570"/>
      <c r="E53" s="570"/>
      <c r="F53" s="570"/>
      <c r="G53" s="570"/>
      <c r="H53" s="570"/>
      <c r="I53" s="570"/>
      <c r="J53" s="570"/>
      <c r="K53" s="570"/>
      <c r="L53" s="570"/>
      <c r="M53" s="570"/>
      <c r="N53" s="570"/>
      <c r="O53" s="571" t="str">
        <f>IF(TeamB!E25="","",TeamB!E25)</f>
        <v/>
      </c>
      <c r="P53" s="526"/>
      <c r="Q53" s="487"/>
      <c r="R53" s="526"/>
      <c r="S53" s="487"/>
      <c r="T53" s="487" t="str">
        <f>IF(TeamB!F25="","",TeamB!F25)</f>
        <v>-</v>
      </c>
      <c r="U53" s="488"/>
      <c r="V53" s="32"/>
      <c r="W53" s="406"/>
      <c r="X53" s="406"/>
      <c r="Y53" s="407"/>
      <c r="Z53" s="378"/>
      <c r="AA53" s="378"/>
      <c r="AB53" s="378"/>
      <c r="AC53" s="115"/>
      <c r="AD53" s="520" t="s">
        <v>122</v>
      </c>
      <c r="AE53" s="521"/>
      <c r="AF53" s="521"/>
      <c r="AG53" s="521"/>
      <c r="AH53" s="521"/>
      <c r="AI53" s="522"/>
      <c r="AJ53" s="517" t="str">
        <f>IF(TeamB!D27="","",TeamB!D27)</f>
        <v xml:space="preserve">      岸井　貴志</v>
      </c>
      <c r="AK53" s="518"/>
      <c r="AL53" s="518"/>
      <c r="AM53" s="518"/>
      <c r="AN53" s="518"/>
      <c r="AO53" s="519"/>
      <c r="AP53" s="719"/>
      <c r="AQ53" s="720"/>
      <c r="AR53" s="721"/>
      <c r="AS53" s="119"/>
      <c r="AT53" s="378"/>
      <c r="AU53" s="954"/>
      <c r="AV53" s="954"/>
      <c r="AW53" s="954"/>
      <c r="AX53" s="954"/>
      <c r="AY53" s="955" t="str">
        <f t="shared" si="1"/>
        <v/>
      </c>
      <c r="AZ53" s="721"/>
      <c r="BA53" s="955"/>
      <c r="BB53" s="956"/>
    </row>
    <row r="54" spans="1:54" s="5" customFormat="1" ht="12.6" customHeight="1" x14ac:dyDescent="0.2">
      <c r="A54" s="952" t="s">
        <v>125</v>
      </c>
      <c r="B54" s="953"/>
      <c r="C54" s="953"/>
      <c r="D54" s="953"/>
      <c r="E54" s="953"/>
      <c r="F54" s="953"/>
      <c r="G54" s="953"/>
      <c r="H54" s="953"/>
      <c r="I54" s="953"/>
      <c r="J54" s="953"/>
      <c r="K54" s="953"/>
      <c r="L54" s="953"/>
      <c r="M54" s="950"/>
      <c r="N54" s="950"/>
      <c r="O54" s="951"/>
      <c r="P54" s="951"/>
      <c r="Q54" s="950"/>
      <c r="R54" s="950"/>
      <c r="S54" s="381"/>
      <c r="T54" s="950"/>
      <c r="U54" s="951"/>
      <c r="V54" s="950" t="s">
        <v>126</v>
      </c>
      <c r="W54" s="951"/>
      <c r="X54" s="951"/>
      <c r="Y54" s="951"/>
      <c r="Z54" s="17"/>
      <c r="AA54" s="17"/>
      <c r="AB54" s="17"/>
      <c r="AC54" s="17"/>
      <c r="AD54" s="17"/>
      <c r="AE54" s="17" t="s">
        <v>193</v>
      </c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 t="s">
        <v>128</v>
      </c>
      <c r="AW54" s="17"/>
      <c r="AX54" s="17"/>
      <c r="AY54" s="17"/>
      <c r="AZ54" s="17"/>
      <c r="BA54" s="17"/>
      <c r="BB54" s="17"/>
    </row>
    <row r="55" spans="1:54" s="5" customFormat="1" ht="12.6" customHeight="1" x14ac:dyDescent="0.2">
      <c r="A55" s="497" t="s">
        <v>129</v>
      </c>
      <c r="B55" s="498"/>
      <c r="C55" s="567" t="s">
        <v>130</v>
      </c>
      <c r="D55" s="567"/>
      <c r="E55" s="568"/>
      <c r="F55" s="479" t="s">
        <v>131</v>
      </c>
      <c r="G55" s="479"/>
      <c r="H55" s="568"/>
      <c r="I55" s="479" t="s">
        <v>132</v>
      </c>
      <c r="J55" s="479"/>
      <c r="K55" s="479"/>
      <c r="L55" s="572" t="s">
        <v>133</v>
      </c>
      <c r="M55" s="573"/>
      <c r="N55" s="573"/>
      <c r="O55" s="573"/>
      <c r="P55" s="573"/>
      <c r="Q55" s="574"/>
      <c r="R55" s="567" t="s">
        <v>134</v>
      </c>
      <c r="S55" s="568"/>
      <c r="T55" s="568"/>
      <c r="U55" s="568"/>
      <c r="V55" s="478" t="s">
        <v>135</v>
      </c>
      <c r="W55" s="479"/>
      <c r="X55" s="479" t="s">
        <v>136</v>
      </c>
      <c r="Y55" s="568"/>
      <c r="Z55" s="568" t="s">
        <v>137</v>
      </c>
      <c r="AA55" s="567"/>
      <c r="AB55" s="479" t="s">
        <v>138</v>
      </c>
      <c r="AC55" s="498"/>
      <c r="AD55" s="18"/>
      <c r="AE55" s="631" t="s">
        <v>116</v>
      </c>
      <c r="AF55" s="949"/>
      <c r="AG55" s="568" t="s">
        <v>139</v>
      </c>
      <c r="AH55" s="946"/>
      <c r="AI55" s="572" t="s">
        <v>140</v>
      </c>
      <c r="AJ55" s="949"/>
      <c r="AK55" s="568" t="s">
        <v>117</v>
      </c>
      <c r="AL55" s="949"/>
      <c r="AM55" s="568" t="s">
        <v>139</v>
      </c>
      <c r="AN55" s="946"/>
      <c r="AO55" s="568" t="s">
        <v>140</v>
      </c>
      <c r="AP55" s="948"/>
      <c r="AQ55" s="17"/>
      <c r="AR55" s="17"/>
      <c r="AS55" s="17"/>
      <c r="AT55" s="17"/>
      <c r="AU55" s="17"/>
      <c r="AV55" s="644" t="s">
        <v>109</v>
      </c>
      <c r="AW55" s="645"/>
      <c r="AX55" s="645"/>
      <c r="AY55" s="645" t="s">
        <v>116</v>
      </c>
      <c r="AZ55" s="645"/>
      <c r="BA55" s="645" t="s">
        <v>117</v>
      </c>
      <c r="BB55" s="680"/>
    </row>
    <row r="56" spans="1:54" ht="12.6" customHeight="1" x14ac:dyDescent="0.2">
      <c r="A56" s="575">
        <v>1</v>
      </c>
      <c r="B56" s="576"/>
      <c r="C56" s="366">
        <f>GameSheet!C56</f>
        <v>0</v>
      </c>
      <c r="D56" s="369" t="s">
        <v>146</v>
      </c>
      <c r="E56" s="371">
        <f>GameSheet!E56</f>
        <v>0</v>
      </c>
      <c r="F56" s="380">
        <f>GameSheet!F56</f>
        <v>0</v>
      </c>
      <c r="G56" s="371" t="s">
        <v>141</v>
      </c>
      <c r="H56" s="375">
        <f>GameSheet!H56</f>
        <v>0</v>
      </c>
      <c r="I56" s="90">
        <f>GameSheet!I56</f>
        <v>0</v>
      </c>
      <c r="J56" s="371" t="s">
        <v>141</v>
      </c>
      <c r="K56" s="91">
        <f>GameSheet!K56</f>
        <v>0</v>
      </c>
      <c r="L56" s="480">
        <f>GameSheet!L56</f>
        <v>0</v>
      </c>
      <c r="M56" s="480"/>
      <c r="N56" s="480" t="s">
        <v>141</v>
      </c>
      <c r="O56" s="482"/>
      <c r="P56" s="480">
        <f>GameSheet!P56</f>
        <v>0</v>
      </c>
      <c r="Q56" s="481"/>
      <c r="R56" s="366">
        <f>GameSheet!R56</f>
        <v>0</v>
      </c>
      <c r="S56" s="489" t="s">
        <v>146</v>
      </c>
      <c r="T56" s="395"/>
      <c r="U56" s="366">
        <f>GameSheet!U56</f>
        <v>0</v>
      </c>
      <c r="V56" s="929">
        <f>GameSheet!V56</f>
        <v>0</v>
      </c>
      <c r="W56" s="930"/>
      <c r="X56" s="943" t="str">
        <f>GameSheet!X56</f>
        <v>-</v>
      </c>
      <c r="Y56" s="947"/>
      <c r="Z56" s="938">
        <f>GameSheet!Z56</f>
        <v>0</v>
      </c>
      <c r="AA56" s="939"/>
      <c r="AB56" s="943" t="str">
        <f>GameSheet!AB56</f>
        <v>-</v>
      </c>
      <c r="AC56" s="944"/>
      <c r="AD56" s="19"/>
      <c r="AE56" s="643" t="str">
        <f>GameSheet!AE56</f>
        <v>-</v>
      </c>
      <c r="AF56" s="945"/>
      <c r="AG56" s="634">
        <f>GameSheet!AG56</f>
        <v>0</v>
      </c>
      <c r="AH56" s="407"/>
      <c r="AI56" s="940" t="str">
        <f>GameSheet!AI56</f>
        <v>0</v>
      </c>
      <c r="AJ56" s="941"/>
      <c r="AK56" s="942" t="str">
        <f>GameSheet!AK56</f>
        <v>-</v>
      </c>
      <c r="AL56" s="941"/>
      <c r="AM56" s="634">
        <f>GameSheet!AM56</f>
        <v>0</v>
      </c>
      <c r="AN56" s="407"/>
      <c r="AO56" s="462" t="str">
        <f>GameSheet!AO56</f>
        <v>0</v>
      </c>
      <c r="AP56" s="933"/>
      <c r="AQ56" s="12"/>
      <c r="AR56" s="12"/>
      <c r="AS56" s="12"/>
      <c r="AT56" s="12"/>
      <c r="AU56" s="12"/>
      <c r="AV56" s="934">
        <f>GameSheet!AV56</f>
        <v>0</v>
      </c>
      <c r="AW56" s="935"/>
      <c r="AX56" s="936"/>
      <c r="AY56" s="895" t="str">
        <f>IF(GameSheet!AY56="","",GameSheet!AY56)</f>
        <v>-</v>
      </c>
      <c r="AZ56" s="895"/>
      <c r="BA56" s="895" t="str">
        <f>IF(GameSheet!BA56="","",GameSheet!BA56)</f>
        <v>-</v>
      </c>
      <c r="BB56" s="896"/>
    </row>
    <row r="57" spans="1:54" ht="12.6" customHeight="1" x14ac:dyDescent="0.2">
      <c r="A57" s="577">
        <v>2</v>
      </c>
      <c r="B57" s="578"/>
      <c r="C57" s="369">
        <f>GameSheet!C57</f>
        <v>0</v>
      </c>
      <c r="D57" s="369" t="s">
        <v>146</v>
      </c>
      <c r="E57" s="369">
        <f>GameSheet!E57</f>
        <v>0</v>
      </c>
      <c r="F57" s="380">
        <f>GameSheet!F57</f>
        <v>0</v>
      </c>
      <c r="G57" s="366" t="s">
        <v>141</v>
      </c>
      <c r="H57" s="375">
        <f>GameSheet!H57</f>
        <v>0</v>
      </c>
      <c r="I57" s="90">
        <f>GameSheet!I57</f>
        <v>0</v>
      </c>
      <c r="J57" s="366" t="s">
        <v>141</v>
      </c>
      <c r="K57" s="91">
        <f>GameSheet!K57</f>
        <v>0</v>
      </c>
      <c r="L57" s="400">
        <f>GameSheet!L57</f>
        <v>0</v>
      </c>
      <c r="M57" s="400"/>
      <c r="N57" s="400" t="s">
        <v>141</v>
      </c>
      <c r="O57" s="469"/>
      <c r="P57" s="400">
        <f>GameSheet!P57</f>
        <v>0</v>
      </c>
      <c r="Q57" s="434"/>
      <c r="R57" s="366">
        <f>GameSheet!R57</f>
        <v>0</v>
      </c>
      <c r="S57" s="443" t="s">
        <v>146</v>
      </c>
      <c r="T57" s="444"/>
      <c r="U57" s="366">
        <f>GameSheet!U57</f>
        <v>0</v>
      </c>
      <c r="V57" s="929" t="str">
        <f>GameSheet!V57</f>
        <v>-</v>
      </c>
      <c r="W57" s="930"/>
      <c r="X57" s="513" t="str">
        <f>GameSheet!X57</f>
        <v>-</v>
      </c>
      <c r="Y57" s="514"/>
      <c r="Z57" s="513" t="str">
        <f>GameSheet!Z57</f>
        <v>-</v>
      </c>
      <c r="AA57" s="512"/>
      <c r="AB57" s="513" t="str">
        <f>GameSheet!AB57</f>
        <v>-</v>
      </c>
      <c r="AC57" s="515"/>
      <c r="AD57" s="19"/>
      <c r="AE57" s="931" t="str">
        <f>GameSheet!AE57</f>
        <v>-</v>
      </c>
      <c r="AF57" s="932"/>
      <c r="AG57" s="634" t="str">
        <f>GameSheet!AG57</f>
        <v>-</v>
      </c>
      <c r="AH57" s="407"/>
      <c r="AI57" s="588" t="str">
        <f>GameSheet!AI57</f>
        <v>-</v>
      </c>
      <c r="AJ57" s="932"/>
      <c r="AK57" s="588" t="str">
        <f>GameSheet!AK57</f>
        <v>-</v>
      </c>
      <c r="AL57" s="932"/>
      <c r="AM57" s="634" t="str">
        <f>GameSheet!AM57</f>
        <v>-</v>
      </c>
      <c r="AN57" s="407"/>
      <c r="AO57" s="588" t="str">
        <f>GameSheet!AO57</f>
        <v>-</v>
      </c>
      <c r="AP57" s="937"/>
      <c r="AQ57" s="12"/>
      <c r="AR57" s="12"/>
      <c r="AS57" s="12"/>
      <c r="AT57" s="12"/>
      <c r="AU57" s="12"/>
      <c r="AV57" s="699" t="str">
        <f>IF(GameSheet!AV57="","",GameSheet!AV57)</f>
        <v/>
      </c>
      <c r="AW57" s="406"/>
      <c r="AX57" s="407"/>
      <c r="AY57" s="895" t="str">
        <f>IF(GameSheet!AY57="","",GameSheet!AY57)</f>
        <v/>
      </c>
      <c r="AZ57" s="895"/>
      <c r="BA57" s="895" t="str">
        <f>IF(GameSheet!BA57="","",GameSheet!BA57)</f>
        <v/>
      </c>
      <c r="BB57" s="896"/>
    </row>
    <row r="58" spans="1:54" ht="12.6" customHeight="1" x14ac:dyDescent="0.2">
      <c r="A58" s="577">
        <v>3</v>
      </c>
      <c r="B58" s="578"/>
      <c r="C58" s="369">
        <f>GameSheet!C58</f>
        <v>0</v>
      </c>
      <c r="D58" s="369" t="s">
        <v>146</v>
      </c>
      <c r="E58" s="369">
        <f>GameSheet!E58</f>
        <v>0</v>
      </c>
      <c r="F58" s="380">
        <f>GameSheet!F58</f>
        <v>0</v>
      </c>
      <c r="G58" s="366" t="s">
        <v>141</v>
      </c>
      <c r="H58" s="375">
        <f>GameSheet!H58</f>
        <v>0</v>
      </c>
      <c r="I58" s="90">
        <f>GameSheet!I58</f>
        <v>0</v>
      </c>
      <c r="J58" s="366" t="s">
        <v>141</v>
      </c>
      <c r="K58" s="91">
        <f>GameSheet!K58</f>
        <v>0</v>
      </c>
      <c r="L58" s="400">
        <f>GameSheet!L58</f>
        <v>0</v>
      </c>
      <c r="M58" s="400"/>
      <c r="N58" s="400" t="s">
        <v>141</v>
      </c>
      <c r="O58" s="469"/>
      <c r="P58" s="400">
        <f>GameSheet!P58</f>
        <v>0</v>
      </c>
      <c r="Q58" s="434"/>
      <c r="R58" s="366">
        <f>GameSheet!R58</f>
        <v>0</v>
      </c>
      <c r="S58" s="582" t="s">
        <v>146</v>
      </c>
      <c r="T58" s="583"/>
      <c r="U58" s="366">
        <f>GameSheet!U58</f>
        <v>0</v>
      </c>
      <c r="V58" s="929" t="str">
        <f>GameSheet!V58</f>
        <v>-</v>
      </c>
      <c r="W58" s="930"/>
      <c r="X58" s="513" t="str">
        <f>GameSheet!X58</f>
        <v>-</v>
      </c>
      <c r="Y58" s="514"/>
      <c r="Z58" s="513" t="str">
        <f>GameSheet!Z58</f>
        <v>-</v>
      </c>
      <c r="AA58" s="512"/>
      <c r="AB58" s="513" t="str">
        <f>GameSheet!AB58</f>
        <v>-</v>
      </c>
      <c r="AC58" s="515"/>
      <c r="AD58" s="19"/>
      <c r="AE58" s="418" t="s">
        <v>143</v>
      </c>
      <c r="AF58" s="665"/>
      <c r="AG58" s="666"/>
      <c r="AH58" s="926" t="str">
        <f>IF(GameSheet!AH58="","",GameSheet!AH58)</f>
        <v/>
      </c>
      <c r="AI58" s="927"/>
      <c r="AJ58" s="928"/>
      <c r="AK58" s="664" t="s">
        <v>144</v>
      </c>
      <c r="AL58" s="665"/>
      <c r="AM58" s="666"/>
      <c r="AN58" s="923" t="str">
        <f>IF(GameSheet!AN58="","",GameSheet!AN58)</f>
        <v/>
      </c>
      <c r="AO58" s="924"/>
      <c r="AP58" s="925"/>
      <c r="AQ58" s="12"/>
      <c r="AR58" s="12"/>
      <c r="AS58" s="12"/>
      <c r="AT58" s="12"/>
      <c r="AU58" s="12"/>
      <c r="AV58" s="699" t="str">
        <f>IF(GameSheet!AV58="","",GameSheet!AV58)</f>
        <v/>
      </c>
      <c r="AW58" s="406"/>
      <c r="AX58" s="407"/>
      <c r="AY58" s="895" t="str">
        <f>IF(GameSheet!AY58="","",GameSheet!AY58)</f>
        <v/>
      </c>
      <c r="AZ58" s="895"/>
      <c r="BA58" s="895" t="str">
        <f>IF(GameSheet!BA58="","",GameSheet!BA58)</f>
        <v/>
      </c>
      <c r="BB58" s="896"/>
    </row>
    <row r="59" spans="1:54" ht="12.6" customHeight="1" x14ac:dyDescent="0.2">
      <c r="A59" s="577" t="s">
        <v>145</v>
      </c>
      <c r="B59" s="578"/>
      <c r="C59" s="369" t="str">
        <f>GameSheet!C59</f>
        <v>-</v>
      </c>
      <c r="D59" s="369" t="s">
        <v>146</v>
      </c>
      <c r="E59" s="369" t="str">
        <f>GameSheet!E59</f>
        <v>-</v>
      </c>
      <c r="F59" s="90" t="str">
        <f>GameSheet!F59</f>
        <v>-</v>
      </c>
      <c r="G59" s="366" t="s">
        <v>141</v>
      </c>
      <c r="H59" s="369" t="str">
        <f>GameSheet!H59</f>
        <v>-</v>
      </c>
      <c r="I59" s="90" t="str">
        <f>GameSheet!I59</f>
        <v>-</v>
      </c>
      <c r="J59" s="366" t="s">
        <v>141</v>
      </c>
      <c r="K59" s="91" t="str">
        <f>GameSheet!K59</f>
        <v>-</v>
      </c>
      <c r="L59" s="443" t="str">
        <f>GameSheet!L59</f>
        <v>-</v>
      </c>
      <c r="M59" s="443"/>
      <c r="N59" s="443" t="s">
        <v>141</v>
      </c>
      <c r="O59" s="579"/>
      <c r="P59" s="443" t="str">
        <f>GameSheet!P59</f>
        <v>-</v>
      </c>
      <c r="Q59" s="495"/>
      <c r="R59" s="366" t="str">
        <f>GameSheet!R59</f>
        <v>-</v>
      </c>
      <c r="S59" s="443" t="s">
        <v>146</v>
      </c>
      <c r="T59" s="444"/>
      <c r="U59" s="366" t="str">
        <f>GameSheet!U59</f>
        <v>-</v>
      </c>
      <c r="V59" s="511" t="str">
        <f>GameSheet!V59</f>
        <v>-</v>
      </c>
      <c r="W59" s="512"/>
      <c r="X59" s="513" t="str">
        <f>GameSheet!X59</f>
        <v>-</v>
      </c>
      <c r="Y59" s="514"/>
      <c r="Z59" s="513" t="str">
        <f>GameSheet!Z59</f>
        <v>-</v>
      </c>
      <c r="AA59" s="512"/>
      <c r="AB59" s="513" t="str">
        <f>GameSheet!AB59</f>
        <v>-</v>
      </c>
      <c r="AC59" s="515"/>
      <c r="AD59" s="19"/>
      <c r="AE59" s="408" t="s">
        <v>147</v>
      </c>
      <c r="AF59" s="573"/>
      <c r="AG59" s="574"/>
      <c r="AH59" s="926" t="str">
        <f>IF(GameSheet!AH59="","",GameSheet!AH59)</f>
        <v>-</v>
      </c>
      <c r="AI59" s="927"/>
      <c r="AJ59" s="928"/>
      <c r="AK59" s="687" t="s">
        <v>148</v>
      </c>
      <c r="AL59" s="573"/>
      <c r="AM59" s="574"/>
      <c r="AN59" s="926" t="str">
        <f>IF(GameSheet!AN59="","",GameSheet!AN59)</f>
        <v>-</v>
      </c>
      <c r="AO59" s="927"/>
      <c r="AP59" s="928"/>
      <c r="AQ59" s="12"/>
      <c r="AR59" s="12"/>
      <c r="AS59" s="12"/>
      <c r="AT59" s="12"/>
      <c r="AU59" s="12"/>
      <c r="AV59" s="699" t="str">
        <f>IF(GameSheet!AV59="","",GameSheet!AV59)</f>
        <v/>
      </c>
      <c r="AW59" s="406"/>
      <c r="AX59" s="407"/>
      <c r="AY59" s="895" t="str">
        <f>IF(GameSheet!AY59="","",GameSheet!AY59)</f>
        <v/>
      </c>
      <c r="AZ59" s="895"/>
      <c r="BA59" s="895" t="str">
        <f>IF(GameSheet!BA59="","",GameSheet!BA59)</f>
        <v/>
      </c>
      <c r="BB59" s="896"/>
    </row>
    <row r="60" spans="1:54" ht="12.6" customHeight="1" x14ac:dyDescent="0.2">
      <c r="A60" s="411" t="s">
        <v>194</v>
      </c>
      <c r="B60" s="412"/>
      <c r="C60" s="376" t="str">
        <f>GameSheet!C60</f>
        <v>-</v>
      </c>
      <c r="D60" s="376" t="s">
        <v>146</v>
      </c>
      <c r="E60" s="376" t="str">
        <f>GameSheet!E60</f>
        <v>-</v>
      </c>
      <c r="F60" s="90" t="str">
        <f>GameSheet!F60</f>
        <v>-</v>
      </c>
      <c r="G60" s="366" t="s">
        <v>141</v>
      </c>
      <c r="H60" s="366" t="str">
        <f>GameSheet!H60</f>
        <v>-</v>
      </c>
      <c r="I60" s="90" t="str">
        <f>GameSheet!I60</f>
        <v>-</v>
      </c>
      <c r="J60" s="366" t="s">
        <v>141</v>
      </c>
      <c r="K60" s="91" t="str">
        <f>GameSheet!K60</f>
        <v>-</v>
      </c>
      <c r="L60" s="400" t="str">
        <f>GameSheet!L60</f>
        <v>-</v>
      </c>
      <c r="M60" s="400"/>
      <c r="N60" s="400" t="s">
        <v>141</v>
      </c>
      <c r="O60" s="469"/>
      <c r="P60" s="400" t="str">
        <f>GameSheet!P60</f>
        <v>-</v>
      </c>
      <c r="Q60" s="434"/>
      <c r="R60" s="366" t="str">
        <f>GameSheet!R60</f>
        <v>-</v>
      </c>
      <c r="S60" s="400" t="s">
        <v>146</v>
      </c>
      <c r="T60" s="398"/>
      <c r="U60" s="366" t="str">
        <f>GameSheet!U60</f>
        <v>-</v>
      </c>
      <c r="V60" s="510" t="str">
        <f>GameSheet!V60</f>
        <v>-</v>
      </c>
      <c r="W60" s="507"/>
      <c r="X60" s="506" t="str">
        <f>GameSheet!X60</f>
        <v>-</v>
      </c>
      <c r="Y60" s="546"/>
      <c r="Z60" s="506" t="str">
        <f>GameSheet!Z60</f>
        <v>-</v>
      </c>
      <c r="AA60" s="507"/>
      <c r="AB60" s="506" t="str">
        <f>GameSheet!AB60</f>
        <v>-</v>
      </c>
      <c r="AC60" s="508"/>
      <c r="AD60" s="19"/>
      <c r="AE60" s="418" t="s">
        <v>150</v>
      </c>
      <c r="AF60" s="913"/>
      <c r="AG60" s="913"/>
      <c r="AH60" s="913"/>
      <c r="AI60" s="914"/>
      <c r="AJ60" s="915" t="str">
        <f>IF(GameSheet!AJ60="","",GameSheet!AJ60)</f>
        <v/>
      </c>
      <c r="AK60" s="500"/>
      <c r="AL60" s="500"/>
      <c r="AM60" s="500"/>
      <c r="AN60" s="500"/>
      <c r="AO60" s="500"/>
      <c r="AP60" s="916"/>
      <c r="AQ60" s="12"/>
      <c r="AR60" s="12"/>
      <c r="AS60" s="12"/>
      <c r="AT60" s="12"/>
      <c r="AU60" s="12"/>
      <c r="AV60" s="699" t="str">
        <f>IF(GameSheet!AV60="","",GameSheet!AV60)</f>
        <v/>
      </c>
      <c r="AW60" s="406"/>
      <c r="AX60" s="407"/>
      <c r="AY60" s="895" t="str">
        <f>IF(GameSheet!AY60="","",GameSheet!AY60)</f>
        <v/>
      </c>
      <c r="AZ60" s="895"/>
      <c r="BA60" s="895" t="str">
        <f>IF(GameSheet!BA60="","",GameSheet!BA60)</f>
        <v/>
      </c>
      <c r="BB60" s="896"/>
    </row>
    <row r="61" spans="1:54" ht="12.6" customHeight="1" x14ac:dyDescent="0.2">
      <c r="A61" s="564" t="s">
        <v>151</v>
      </c>
      <c r="B61" s="565"/>
      <c r="C61" s="367">
        <f>IF(ISBLANK(C56),"",SUM(C56:C60))</f>
        <v>0</v>
      </c>
      <c r="D61" s="367" t="s">
        <v>146</v>
      </c>
      <c r="E61" s="367">
        <f>IF(ISBLANK(E56),"",SUM(E56:E60))</f>
        <v>0</v>
      </c>
      <c r="F61" s="370">
        <f>SUM(F56:F60)</f>
        <v>0</v>
      </c>
      <c r="G61" s="367" t="s">
        <v>141</v>
      </c>
      <c r="H61" s="367">
        <f>SUM(H56:H60)</f>
        <v>0</v>
      </c>
      <c r="I61" s="370">
        <f>SUM(I56:I60)</f>
        <v>0</v>
      </c>
      <c r="J61" s="367" t="s">
        <v>141</v>
      </c>
      <c r="K61" s="374">
        <f>SUM(K56:K60)</f>
        <v>0</v>
      </c>
      <c r="L61" s="404">
        <f>SUM(L56:M60)</f>
        <v>0</v>
      </c>
      <c r="M61" s="404"/>
      <c r="N61" s="424" t="s">
        <v>141</v>
      </c>
      <c r="O61" s="425"/>
      <c r="P61" s="404">
        <f>SUM(P56:Q60)</f>
        <v>0</v>
      </c>
      <c r="Q61" s="405"/>
      <c r="R61" s="367">
        <f>SUM(R56:R60)</f>
        <v>0</v>
      </c>
      <c r="S61" s="480" t="s">
        <v>146</v>
      </c>
      <c r="T61" s="533"/>
      <c r="U61" s="367">
        <f>SUM(U56:U60)</f>
        <v>0</v>
      </c>
      <c r="V61" s="911">
        <f>GameSheet!V61</f>
        <v>0</v>
      </c>
      <c r="W61" s="912"/>
      <c r="X61" s="917" t="str">
        <f>GameSheet!X61</f>
        <v>-</v>
      </c>
      <c r="Y61" s="922"/>
      <c r="Z61" s="917">
        <f>GameSheet!Z61</f>
        <v>0</v>
      </c>
      <c r="AA61" s="912"/>
      <c r="AB61" s="917" t="str">
        <f>GameSheet!AB61</f>
        <v>-</v>
      </c>
      <c r="AC61" s="918"/>
      <c r="AD61" s="20"/>
      <c r="AE61" s="408" t="s">
        <v>152</v>
      </c>
      <c r="AF61" s="409"/>
      <c r="AG61" s="409"/>
      <c r="AH61" s="409"/>
      <c r="AI61" s="410"/>
      <c r="AJ61" s="919" t="str">
        <f>IF(GameSheet!AJ61="","",GameSheet!AJ61)</f>
        <v>-</v>
      </c>
      <c r="AK61" s="920"/>
      <c r="AL61" s="920"/>
      <c r="AM61" s="920"/>
      <c r="AN61" s="920"/>
      <c r="AO61" s="920"/>
      <c r="AP61" s="921"/>
      <c r="AQ61" s="12"/>
      <c r="AR61" s="12"/>
      <c r="AS61" s="12"/>
      <c r="AT61" s="12"/>
      <c r="AU61" s="12"/>
      <c r="AV61" s="699" t="str">
        <f>IF(GameSheet!AV61="","",GameSheet!AV61)</f>
        <v/>
      </c>
      <c r="AW61" s="406"/>
      <c r="AX61" s="407"/>
      <c r="AY61" s="895" t="str">
        <f>IF(GameSheet!AY61="","",GameSheet!AY61)</f>
        <v/>
      </c>
      <c r="AZ61" s="895"/>
      <c r="BA61" s="895" t="str">
        <f>IF(GameSheet!BA61="","",GameSheet!BA61)</f>
        <v/>
      </c>
      <c r="BB61" s="896"/>
    </row>
    <row r="62" spans="1:54" ht="12.6" customHeight="1" x14ac:dyDescent="0.2">
      <c r="A62" s="900" t="s">
        <v>153</v>
      </c>
      <c r="B62" s="900"/>
      <c r="C62" s="486"/>
      <c r="D62" s="486"/>
      <c r="E62" s="486"/>
      <c r="F62" s="486"/>
      <c r="G62" s="486"/>
      <c r="H62" s="486"/>
      <c r="I62" s="486"/>
      <c r="J62" s="486"/>
      <c r="K62" s="486"/>
      <c r="L62" s="486"/>
      <c r="M62" s="486"/>
      <c r="N62" s="486"/>
      <c r="O62" s="486"/>
      <c r="P62" s="486"/>
      <c r="Q62" s="486"/>
      <c r="R62" s="486"/>
      <c r="S62" s="486"/>
      <c r="T62" s="486"/>
      <c r="U62" s="486"/>
      <c r="V62" s="909"/>
      <c r="W62" s="909"/>
      <c r="X62" s="909"/>
      <c r="Y62" s="910"/>
      <c r="Z62" s="910"/>
      <c r="AA62" s="910"/>
      <c r="AB62" s="910"/>
      <c r="AC62" s="910"/>
      <c r="AD62" s="21"/>
      <c r="AE62" s="21"/>
      <c r="AF62" s="21"/>
      <c r="AG62" s="21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699" t="str">
        <f>IF(GameSheet!AV62="","",GameSheet!AV62)</f>
        <v/>
      </c>
      <c r="AW62" s="406"/>
      <c r="AX62" s="407"/>
      <c r="AY62" s="895" t="str">
        <f>IF(GameSheet!AY62="","",GameSheet!AY62)</f>
        <v/>
      </c>
      <c r="AZ62" s="895"/>
      <c r="BA62" s="895" t="str">
        <f>IF(GameSheet!BA62="","",GameSheet!BA62)</f>
        <v/>
      </c>
      <c r="BB62" s="896"/>
    </row>
    <row r="63" spans="1:54" ht="12.6" customHeight="1" x14ac:dyDescent="0.2">
      <c r="A63" s="464" t="s">
        <v>154</v>
      </c>
      <c r="B63" s="465"/>
      <c r="C63" s="465"/>
      <c r="D63" s="465"/>
      <c r="E63" s="465"/>
      <c r="F63" s="465"/>
      <c r="G63" s="901" t="str">
        <f>IF(GameSheet!G63="","",GameSheet!G63)</f>
        <v xml:space="preserve">      田中　伸史</v>
      </c>
      <c r="H63" s="902"/>
      <c r="I63" s="902"/>
      <c r="J63" s="902"/>
      <c r="K63" s="902"/>
      <c r="L63" s="902"/>
      <c r="M63" s="902"/>
      <c r="N63" s="902"/>
      <c r="O63" s="902"/>
      <c r="P63" s="902"/>
      <c r="Q63" s="902"/>
      <c r="R63" s="903"/>
      <c r="S63" s="464" t="s">
        <v>155</v>
      </c>
      <c r="T63" s="531"/>
      <c r="U63" s="531"/>
      <c r="V63" s="531"/>
      <c r="W63" s="531"/>
      <c r="X63" s="531"/>
      <c r="Y63" s="906" t="str">
        <f>IF(GameSheet!Y63="","",GameSheet!Y63)</f>
        <v/>
      </c>
      <c r="Z63" s="906"/>
      <c r="AA63" s="906"/>
      <c r="AB63" s="906"/>
      <c r="AC63" s="906"/>
      <c r="AD63" s="906"/>
      <c r="AE63" s="907"/>
      <c r="AF63" s="671" t="s">
        <v>156</v>
      </c>
      <c r="AG63" s="672"/>
      <c r="AH63" s="672"/>
      <c r="AI63" s="673"/>
      <c r="AJ63" s="897" t="s">
        <v>195</v>
      </c>
      <c r="AK63" s="898"/>
      <c r="AL63" s="898"/>
      <c r="AM63" s="898"/>
      <c r="AN63" s="898"/>
      <c r="AO63" s="908"/>
      <c r="AP63" s="897" t="s">
        <v>195</v>
      </c>
      <c r="AQ63" s="898"/>
      <c r="AR63" s="898"/>
      <c r="AS63" s="898"/>
      <c r="AT63" s="898"/>
      <c r="AU63" s="899"/>
      <c r="AV63" s="699" t="str">
        <f>IF(GameSheet!AV63="","",GameSheet!AV63)</f>
        <v/>
      </c>
      <c r="AW63" s="406"/>
      <c r="AX63" s="407"/>
      <c r="AY63" s="895" t="str">
        <f>IF(GameSheet!AY63="","",GameSheet!AY63)</f>
        <v/>
      </c>
      <c r="AZ63" s="895"/>
      <c r="BA63" s="895" t="str">
        <f>IF(GameSheet!BA63="","",GameSheet!BA63)</f>
        <v/>
      </c>
      <c r="BB63" s="896"/>
    </row>
    <row r="64" spans="1:54" ht="12.6" customHeight="1" x14ac:dyDescent="0.2">
      <c r="A64" s="401" t="s">
        <v>157</v>
      </c>
      <c r="B64" s="402"/>
      <c r="C64" s="402"/>
      <c r="D64" s="402"/>
      <c r="E64" s="402"/>
      <c r="F64" s="403"/>
      <c r="G64" s="901" t="str">
        <f>IF(GameSheet!G64="","",GameSheet!G64)</f>
        <v xml:space="preserve">      木下　和則</v>
      </c>
      <c r="H64" s="902"/>
      <c r="I64" s="902"/>
      <c r="J64" s="902"/>
      <c r="K64" s="902"/>
      <c r="L64" s="902"/>
      <c r="M64" s="902"/>
      <c r="N64" s="902"/>
      <c r="O64" s="902"/>
      <c r="P64" s="902"/>
      <c r="Q64" s="902"/>
      <c r="R64" s="903"/>
      <c r="S64" s="401" t="s">
        <v>155</v>
      </c>
      <c r="T64" s="532"/>
      <c r="U64" s="532"/>
      <c r="V64" s="532"/>
      <c r="W64" s="532"/>
      <c r="X64" s="532"/>
      <c r="Y64" s="904" t="str">
        <f>IF(GameSheet!Y64="","",GameSheet!Y64)</f>
        <v/>
      </c>
      <c r="Z64" s="904"/>
      <c r="AA64" s="904"/>
      <c r="AB64" s="904"/>
      <c r="AC64" s="904"/>
      <c r="AD64" s="904"/>
      <c r="AE64" s="905"/>
      <c r="AF64" s="431" t="s">
        <v>158</v>
      </c>
      <c r="AG64" s="432"/>
      <c r="AH64" s="432"/>
      <c r="AI64" s="433"/>
      <c r="AJ64" s="983" t="s">
        <v>196</v>
      </c>
      <c r="AK64" s="984"/>
      <c r="AL64" s="984"/>
      <c r="AM64" s="984"/>
      <c r="AN64" s="984"/>
      <c r="AO64" s="985"/>
      <c r="AP64" s="983" t="s">
        <v>197</v>
      </c>
      <c r="AQ64" s="984"/>
      <c r="AR64" s="984"/>
      <c r="AS64" s="984"/>
      <c r="AT64" s="984"/>
      <c r="AU64" s="986"/>
      <c r="AV64" s="699" t="str">
        <f>IF(GameSheet!AV64="","",GameSheet!AV64)</f>
        <v/>
      </c>
      <c r="AW64" s="406"/>
      <c r="AX64" s="407"/>
      <c r="AY64" s="895" t="str">
        <f>IF(GameSheet!AY64="","",GameSheet!AY64)</f>
        <v/>
      </c>
      <c r="AZ64" s="895"/>
      <c r="BA64" s="895" t="str">
        <f>IF(GameSheet!BA64="","",GameSheet!BA64)</f>
        <v/>
      </c>
      <c r="BB64" s="896"/>
    </row>
    <row r="65" spans="1:54" ht="12.6" customHeight="1" x14ac:dyDescent="0.2">
      <c r="A65" s="447" t="s">
        <v>162</v>
      </c>
      <c r="B65" s="448"/>
      <c r="C65" s="448"/>
      <c r="D65" s="448"/>
      <c r="E65" s="448"/>
      <c r="F65" s="449"/>
      <c r="G65" s="901" t="str">
        <f>IF(GameSheet!G65="","",GameSheet!G65)</f>
        <v/>
      </c>
      <c r="H65" s="902"/>
      <c r="I65" s="902"/>
      <c r="J65" s="902"/>
      <c r="K65" s="902"/>
      <c r="L65" s="902"/>
      <c r="M65" s="902"/>
      <c r="N65" s="902"/>
      <c r="O65" s="902"/>
      <c r="P65" s="902"/>
      <c r="Q65" s="902"/>
      <c r="R65" s="903"/>
      <c r="S65" s="401" t="s">
        <v>160</v>
      </c>
      <c r="T65" s="532"/>
      <c r="U65" s="532"/>
      <c r="V65" s="532"/>
      <c r="W65" s="532"/>
      <c r="X65" s="532"/>
      <c r="Y65" s="904" t="str">
        <f>IF(GameSheet!Y65="","",GameSheet!Y65)</f>
        <v/>
      </c>
      <c r="Z65" s="904"/>
      <c r="AA65" s="904"/>
      <c r="AB65" s="904"/>
      <c r="AC65" s="904"/>
      <c r="AD65" s="904"/>
      <c r="AE65" s="905"/>
      <c r="AF65" s="560" t="s">
        <v>161</v>
      </c>
      <c r="AG65" s="560"/>
      <c r="AH65" s="560"/>
      <c r="AI65" s="560"/>
      <c r="AJ65" s="554"/>
      <c r="AK65" s="554"/>
      <c r="AL65" s="554"/>
      <c r="AM65" s="554"/>
      <c r="AN65" s="554"/>
      <c r="AO65" s="554"/>
      <c r="AP65" s="554"/>
      <c r="AQ65" s="554"/>
      <c r="AR65" s="554"/>
      <c r="AS65" s="554"/>
      <c r="AT65" s="554"/>
      <c r="AU65" s="554"/>
      <c r="AV65" s="699" t="str">
        <f>IF(GameSheet!AV65="","",GameSheet!AV65)</f>
        <v/>
      </c>
      <c r="AW65" s="406"/>
      <c r="AX65" s="407"/>
      <c r="AY65" s="895" t="str">
        <f>IF(GameSheet!AY65="","",GameSheet!AY65)</f>
        <v/>
      </c>
      <c r="AZ65" s="895"/>
      <c r="BA65" s="895" t="str">
        <f>IF(GameSheet!BA65="","",GameSheet!BA65)</f>
        <v/>
      </c>
      <c r="BB65" s="896"/>
    </row>
    <row r="66" spans="1:54" ht="12.6" customHeight="1" x14ac:dyDescent="0.2">
      <c r="A66" s="447" t="s">
        <v>198</v>
      </c>
      <c r="B66" s="448"/>
      <c r="C66" s="448"/>
      <c r="D66" s="448"/>
      <c r="E66" s="448"/>
      <c r="F66" s="449"/>
      <c r="G66" s="901" t="str">
        <f>IF(GameSheet!G66="","",GameSheet!G66)</f>
        <v/>
      </c>
      <c r="H66" s="902"/>
      <c r="I66" s="902"/>
      <c r="J66" s="902"/>
      <c r="K66" s="902"/>
      <c r="L66" s="902"/>
      <c r="M66" s="902"/>
      <c r="N66" s="902"/>
      <c r="O66" s="902"/>
      <c r="P66" s="902"/>
      <c r="Q66" s="902"/>
      <c r="R66" s="903"/>
      <c r="S66" s="401" t="s">
        <v>160</v>
      </c>
      <c r="T66" s="532"/>
      <c r="U66" s="532"/>
      <c r="V66" s="532"/>
      <c r="W66" s="532"/>
      <c r="X66" s="532"/>
      <c r="Y66" s="904" t="str">
        <f>IF(GameSheet!Y66="","",GameSheet!Y66)</f>
        <v/>
      </c>
      <c r="Z66" s="904"/>
      <c r="AA66" s="904"/>
      <c r="AB66" s="904"/>
      <c r="AC66" s="904"/>
      <c r="AD66" s="904"/>
      <c r="AE66" s="905"/>
      <c r="AF66" s="561"/>
      <c r="AG66" s="561"/>
      <c r="AH66" s="561"/>
      <c r="AI66" s="561"/>
      <c r="AJ66" s="555"/>
      <c r="AK66" s="555"/>
      <c r="AL66" s="555"/>
      <c r="AM66" s="555"/>
      <c r="AN66" s="555"/>
      <c r="AO66" s="555"/>
      <c r="AP66" s="555"/>
      <c r="AQ66" s="555"/>
      <c r="AR66" s="555"/>
      <c r="AS66" s="555"/>
      <c r="AT66" s="555"/>
      <c r="AU66" s="555"/>
      <c r="AV66" s="699" t="str">
        <f>IF(GameSheet!AV66="","",GameSheet!AV66)</f>
        <v/>
      </c>
      <c r="AW66" s="406"/>
      <c r="AX66" s="407"/>
      <c r="AY66" s="895" t="str">
        <f>IF(GameSheet!AY66="","",GameSheet!AY66)</f>
        <v/>
      </c>
      <c r="AZ66" s="895"/>
      <c r="BA66" s="895" t="str">
        <f>IF(GameSheet!BA66="","",GameSheet!BA66)</f>
        <v/>
      </c>
      <c r="BB66" s="896"/>
    </row>
    <row r="67" spans="1:54" ht="12.6" customHeight="1" x14ac:dyDescent="0.2">
      <c r="A67" s="421" t="s">
        <v>163</v>
      </c>
      <c r="B67" s="422"/>
      <c r="C67" s="422"/>
      <c r="D67" s="422"/>
      <c r="E67" s="422"/>
      <c r="F67" s="423"/>
      <c r="G67" s="987" t="str">
        <f>IF(GameSheet!G67="","",GameSheet!G67)</f>
        <v/>
      </c>
      <c r="H67" s="988"/>
      <c r="I67" s="988"/>
      <c r="J67" s="988"/>
      <c r="K67" s="988"/>
      <c r="L67" s="988"/>
      <c r="M67" s="988"/>
      <c r="N67" s="988"/>
      <c r="O67" s="988"/>
      <c r="P67" s="988"/>
      <c r="Q67" s="988"/>
      <c r="R67" s="989"/>
      <c r="S67" s="547" t="s">
        <v>164</v>
      </c>
      <c r="T67" s="548"/>
      <c r="U67" s="548"/>
      <c r="V67" s="548"/>
      <c r="W67" s="548"/>
      <c r="X67" s="548"/>
      <c r="Y67" s="990" t="str">
        <f>IF(GameSheet!Y67="","",GameSheet!Y67)</f>
        <v/>
      </c>
      <c r="Z67" s="990"/>
      <c r="AA67" s="990"/>
      <c r="AB67" s="990"/>
      <c r="AC67" s="990"/>
      <c r="AD67" s="990"/>
      <c r="AE67" s="991"/>
      <c r="AF67" s="562"/>
      <c r="AG67" s="562"/>
      <c r="AH67" s="562"/>
      <c r="AI67" s="562"/>
      <c r="AJ67" s="556"/>
      <c r="AK67" s="556"/>
      <c r="AL67" s="556"/>
      <c r="AM67" s="556"/>
      <c r="AN67" s="556"/>
      <c r="AO67" s="556"/>
      <c r="AP67" s="556"/>
      <c r="AQ67" s="556"/>
      <c r="AR67" s="556"/>
      <c r="AS67" s="556"/>
      <c r="AT67" s="556"/>
      <c r="AU67" s="556"/>
      <c r="AV67" s="719" t="str">
        <f>IF(GameSheet!AV67="","",GameSheet!AV67)</f>
        <v/>
      </c>
      <c r="AW67" s="720"/>
      <c r="AX67" s="721"/>
      <c r="AY67" s="893" t="str">
        <f>IF(GameSheet!AY67="","",GameSheet!AY67)</f>
        <v/>
      </c>
      <c r="AZ67" s="893"/>
      <c r="BA67" s="893" t="str">
        <f>IF(GameSheet!BA67="","",GameSheet!BA67)</f>
        <v/>
      </c>
      <c r="BB67" s="894"/>
    </row>
    <row r="68" spans="1:54" ht="4.5" customHeight="1" x14ac:dyDescent="0.2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</row>
    <row r="69" spans="1:54" ht="12" customHeight="1" x14ac:dyDescent="0.2">
      <c r="A69" s="439" t="s">
        <v>165</v>
      </c>
      <c r="B69" s="440"/>
      <c r="C69" s="440"/>
      <c r="D69" s="440"/>
      <c r="E69" s="440"/>
      <c r="F69" s="76"/>
      <c r="G69" s="890" t="s">
        <v>199</v>
      </c>
      <c r="H69" s="891"/>
      <c r="I69" s="891"/>
      <c r="J69" s="891"/>
      <c r="K69" s="891"/>
      <c r="L69" s="891"/>
      <c r="M69" s="891"/>
      <c r="N69" s="891"/>
      <c r="O69" s="891"/>
      <c r="P69" s="891"/>
      <c r="Q69" s="891"/>
      <c r="R69" s="891"/>
      <c r="S69" s="891"/>
      <c r="T69" s="891"/>
      <c r="U69" s="891"/>
      <c r="V69" s="891"/>
      <c r="W69" s="891"/>
      <c r="X69" s="891"/>
      <c r="Y69" s="891"/>
      <c r="Z69" s="891"/>
      <c r="AA69" s="891"/>
      <c r="AB69" s="891"/>
      <c r="AC69" s="891"/>
      <c r="AD69" s="891"/>
      <c r="AE69" s="891"/>
      <c r="AF69" s="891"/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2"/>
    </row>
    <row r="70" spans="1:54" ht="10.199999999999999" x14ac:dyDescent="0.2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</row>
    <row r="71" spans="1:54" x14ac:dyDescent="0.2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</row>
  </sheetData>
  <mergeCells count="616">
    <mergeCell ref="AP64:AU64"/>
    <mergeCell ref="AJ65:AO67"/>
    <mergeCell ref="AP65:AU67"/>
    <mergeCell ref="G66:R66"/>
    <mergeCell ref="S66:X66"/>
    <mergeCell ref="Y66:AE66"/>
    <mergeCell ref="G67:R67"/>
    <mergeCell ref="S67:X67"/>
    <mergeCell ref="Y67:AE67"/>
    <mergeCell ref="A1:V1"/>
    <mergeCell ref="Y1:AO1"/>
    <mergeCell ref="A2:B2"/>
    <mergeCell ref="C2:S2"/>
    <mergeCell ref="T2:V2"/>
    <mergeCell ref="W2:AD2"/>
    <mergeCell ref="AE2:AF2"/>
    <mergeCell ref="G64:R64"/>
    <mergeCell ref="S64:X64"/>
    <mergeCell ref="Y64:AE64"/>
    <mergeCell ref="AF64:AI64"/>
    <mergeCell ref="AJ64:AO64"/>
    <mergeCell ref="T6:U6"/>
    <mergeCell ref="W6:Y6"/>
    <mergeCell ref="W8:Y8"/>
    <mergeCell ref="G4:U5"/>
    <mergeCell ref="V4:AC5"/>
    <mergeCell ref="O6:S6"/>
    <mergeCell ref="B6:N6"/>
    <mergeCell ref="A4:F5"/>
    <mergeCell ref="T15:U15"/>
    <mergeCell ref="W15:Y15"/>
    <mergeCell ref="AH15:AI15"/>
    <mergeCell ref="T16:U16"/>
    <mergeCell ref="BA11:BB11"/>
    <mergeCell ref="AU10:AX10"/>
    <mergeCell ref="AY9:AZ9"/>
    <mergeCell ref="BA9:BB9"/>
    <mergeCell ref="AY10:AZ10"/>
    <mergeCell ref="BA10:BB10"/>
    <mergeCell ref="AU8:AX8"/>
    <mergeCell ref="AG2:AL2"/>
    <mergeCell ref="BA8:BB8"/>
    <mergeCell ref="AU7:AX7"/>
    <mergeCell ref="AR2:AT2"/>
    <mergeCell ref="AM2:AN2"/>
    <mergeCell ref="AU2:AW2"/>
    <mergeCell ref="AP4:BB5"/>
    <mergeCell ref="AP7:AR7"/>
    <mergeCell ref="AO2:AQ2"/>
    <mergeCell ref="AX2:AZ2"/>
    <mergeCell ref="BA2:BB2"/>
    <mergeCell ref="BA7:BB7"/>
    <mergeCell ref="AU6:AX6"/>
    <mergeCell ref="AY6:AZ6"/>
    <mergeCell ref="AD4:AI5"/>
    <mergeCell ref="BA6:BB6"/>
    <mergeCell ref="AP6:AR6"/>
    <mergeCell ref="AY8:AZ8"/>
    <mergeCell ref="T10:U10"/>
    <mergeCell ref="W10:Y10"/>
    <mergeCell ref="AH6:AI6"/>
    <mergeCell ref="T11:U11"/>
    <mergeCell ref="W11:Y11"/>
    <mergeCell ref="T9:U9"/>
    <mergeCell ref="T8:U8"/>
    <mergeCell ref="W9:Y9"/>
    <mergeCell ref="AH9:AI9"/>
    <mergeCell ref="AH8:AI8"/>
    <mergeCell ref="AH11:AI11"/>
    <mergeCell ref="AH7:AI7"/>
    <mergeCell ref="AH10:AI10"/>
    <mergeCell ref="T7:U7"/>
    <mergeCell ref="W7:Y7"/>
    <mergeCell ref="W16:Y16"/>
    <mergeCell ref="AH16:AI16"/>
    <mergeCell ref="BA12:BB12"/>
    <mergeCell ref="AU13:AX13"/>
    <mergeCell ref="AY13:AZ13"/>
    <mergeCell ref="BA13:BB13"/>
    <mergeCell ref="AY12:AZ12"/>
    <mergeCell ref="AU12:AX12"/>
    <mergeCell ref="T12:U12"/>
    <mergeCell ref="W12:Y12"/>
    <mergeCell ref="AH12:AI12"/>
    <mergeCell ref="T14:U14"/>
    <mergeCell ref="W14:Y14"/>
    <mergeCell ref="AH14:AI14"/>
    <mergeCell ref="T13:U13"/>
    <mergeCell ref="W13:Y13"/>
    <mergeCell ref="AH13:AI13"/>
    <mergeCell ref="AP16:AR16"/>
    <mergeCell ref="AP15:AR15"/>
    <mergeCell ref="AU14:AX14"/>
    <mergeCell ref="BA14:BB14"/>
    <mergeCell ref="AU15:AX15"/>
    <mergeCell ref="AY15:AZ15"/>
    <mergeCell ref="BA15:BB15"/>
    <mergeCell ref="AY14:AZ14"/>
    <mergeCell ref="AY17:AZ17"/>
    <mergeCell ref="BA17:BB17"/>
    <mergeCell ref="AY16:AZ16"/>
    <mergeCell ref="AU16:AX16"/>
    <mergeCell ref="BA16:BB16"/>
    <mergeCell ref="AU17:AX17"/>
    <mergeCell ref="BA18:BB18"/>
    <mergeCell ref="AU19:AX19"/>
    <mergeCell ref="AY19:AZ19"/>
    <mergeCell ref="BA19:BB19"/>
    <mergeCell ref="T17:U17"/>
    <mergeCell ref="W17:Y17"/>
    <mergeCell ref="AH17:AI17"/>
    <mergeCell ref="T19:U19"/>
    <mergeCell ref="W19:Y19"/>
    <mergeCell ref="AH19:AI19"/>
    <mergeCell ref="T18:U18"/>
    <mergeCell ref="W18:Y18"/>
    <mergeCell ref="AH18:AI18"/>
    <mergeCell ref="AP17:AR17"/>
    <mergeCell ref="AP19:AR19"/>
    <mergeCell ref="AU21:AX21"/>
    <mergeCell ref="AY21:AZ21"/>
    <mergeCell ref="AP20:AR20"/>
    <mergeCell ref="AU20:AX20"/>
    <mergeCell ref="AY20:AZ20"/>
    <mergeCell ref="AJ4:AO27"/>
    <mergeCell ref="AP18:AR18"/>
    <mergeCell ref="AU18:AX18"/>
    <mergeCell ref="AY18:AZ18"/>
    <mergeCell ref="AP10:AR10"/>
    <mergeCell ref="AP8:AR8"/>
    <mergeCell ref="AP9:AR9"/>
    <mergeCell ref="AP11:AR11"/>
    <mergeCell ref="AU9:AX9"/>
    <mergeCell ref="AY7:AZ7"/>
    <mergeCell ref="AU11:AX11"/>
    <mergeCell ref="AP12:AR12"/>
    <mergeCell ref="AP14:AR14"/>
    <mergeCell ref="AP13:AR13"/>
    <mergeCell ref="AY11:AZ11"/>
    <mergeCell ref="AU25:AX25"/>
    <mergeCell ref="AY25:AZ25"/>
    <mergeCell ref="BA21:BB21"/>
    <mergeCell ref="AP22:AR22"/>
    <mergeCell ref="AU22:AX22"/>
    <mergeCell ref="AY22:AZ22"/>
    <mergeCell ref="BA22:BB22"/>
    <mergeCell ref="AP21:AR21"/>
    <mergeCell ref="T20:U20"/>
    <mergeCell ref="W20:Y20"/>
    <mergeCell ref="AH20:AI20"/>
    <mergeCell ref="BA20:BB20"/>
    <mergeCell ref="T21:U21"/>
    <mergeCell ref="W21:Y21"/>
    <mergeCell ref="AH21:AI21"/>
    <mergeCell ref="BA23:BB23"/>
    <mergeCell ref="AP24:AR24"/>
    <mergeCell ref="AU24:AX24"/>
    <mergeCell ref="AY24:AZ24"/>
    <mergeCell ref="BA24:BB24"/>
    <mergeCell ref="T23:U23"/>
    <mergeCell ref="T22:U22"/>
    <mergeCell ref="W22:Y22"/>
    <mergeCell ref="AH22:AI22"/>
    <mergeCell ref="AH24:AI24"/>
    <mergeCell ref="AP23:AR23"/>
    <mergeCell ref="AU23:AX23"/>
    <mergeCell ref="W23:Y23"/>
    <mergeCell ref="AH23:AI23"/>
    <mergeCell ref="T24:U24"/>
    <mergeCell ref="W24:Y24"/>
    <mergeCell ref="AY23:AZ23"/>
    <mergeCell ref="BA25:BB25"/>
    <mergeCell ref="AP26:AR26"/>
    <mergeCell ref="AU26:AX26"/>
    <mergeCell ref="AY26:AZ26"/>
    <mergeCell ref="BA26:BB26"/>
    <mergeCell ref="AP25:AR25"/>
    <mergeCell ref="T25:U25"/>
    <mergeCell ref="W25:Y25"/>
    <mergeCell ref="AH25:AI25"/>
    <mergeCell ref="AU27:AX27"/>
    <mergeCell ref="AY27:AZ27"/>
    <mergeCell ref="BA27:BB27"/>
    <mergeCell ref="T27:U27"/>
    <mergeCell ref="W27:Y27"/>
    <mergeCell ref="T26:U26"/>
    <mergeCell ref="W26:Y26"/>
    <mergeCell ref="AH26:AI26"/>
    <mergeCell ref="AH27:AI27"/>
    <mergeCell ref="AP27:AR27"/>
    <mergeCell ref="V29:AC30"/>
    <mergeCell ref="AD29:AI30"/>
    <mergeCell ref="AY28:AZ28"/>
    <mergeCell ref="BA28:BB28"/>
    <mergeCell ref="W28:Y28"/>
    <mergeCell ref="AP28:AR28"/>
    <mergeCell ref="AU28:AX28"/>
    <mergeCell ref="AJ28:AO28"/>
    <mergeCell ref="AD28:AI28"/>
    <mergeCell ref="AJ29:AO52"/>
    <mergeCell ref="AY33:AZ33"/>
    <mergeCell ref="BA33:BB33"/>
    <mergeCell ref="AP29:BB30"/>
    <mergeCell ref="AU34:AX34"/>
    <mergeCell ref="AY34:AZ34"/>
    <mergeCell ref="BA34:BB34"/>
    <mergeCell ref="AU33:AX33"/>
    <mergeCell ref="AY31:AZ31"/>
    <mergeCell ref="BA31:BB31"/>
    <mergeCell ref="BA32:BB32"/>
    <mergeCell ref="AU32:AX32"/>
    <mergeCell ref="AY32:AZ32"/>
    <mergeCell ref="AP36:AR36"/>
    <mergeCell ref="AP38:AR38"/>
    <mergeCell ref="T32:U32"/>
    <mergeCell ref="W32:Y32"/>
    <mergeCell ref="AH32:AI32"/>
    <mergeCell ref="AP32:AR32"/>
    <mergeCell ref="AH31:AI31"/>
    <mergeCell ref="AP31:AR31"/>
    <mergeCell ref="AU31:AX31"/>
    <mergeCell ref="T33:U33"/>
    <mergeCell ref="W33:Y33"/>
    <mergeCell ref="AH33:AI33"/>
    <mergeCell ref="AP33:AR33"/>
    <mergeCell ref="T34:U34"/>
    <mergeCell ref="W34:Y34"/>
    <mergeCell ref="AH34:AI34"/>
    <mergeCell ref="AP34:AR34"/>
    <mergeCell ref="W31:Y31"/>
    <mergeCell ref="BA35:BB35"/>
    <mergeCell ref="AU35:AX35"/>
    <mergeCell ref="AY35:AZ35"/>
    <mergeCell ref="T38:U38"/>
    <mergeCell ref="W38:Y38"/>
    <mergeCell ref="AH38:AI38"/>
    <mergeCell ref="T37:U37"/>
    <mergeCell ref="W37:Y37"/>
    <mergeCell ref="AH37:AI37"/>
    <mergeCell ref="AU36:AX36"/>
    <mergeCell ref="T36:U36"/>
    <mergeCell ref="W36:Y36"/>
    <mergeCell ref="AH36:AI36"/>
    <mergeCell ref="AP35:AR35"/>
    <mergeCell ref="T35:U35"/>
    <mergeCell ref="W35:Y35"/>
    <mergeCell ref="AH35:AI35"/>
    <mergeCell ref="AY36:AZ36"/>
    <mergeCell ref="BA36:BB36"/>
    <mergeCell ref="BA37:BB37"/>
    <mergeCell ref="AU38:AX38"/>
    <mergeCell ref="AY38:AZ38"/>
    <mergeCell ref="BA38:BB38"/>
    <mergeCell ref="AY37:AZ37"/>
    <mergeCell ref="AP37:AR37"/>
    <mergeCell ref="BA39:BB39"/>
    <mergeCell ref="AU40:AX40"/>
    <mergeCell ref="AY40:AZ40"/>
    <mergeCell ref="BA40:BB40"/>
    <mergeCell ref="AU39:AX39"/>
    <mergeCell ref="AY39:AZ39"/>
    <mergeCell ref="AU37:AX37"/>
    <mergeCell ref="T40:U40"/>
    <mergeCell ref="W40:Y40"/>
    <mergeCell ref="AH40:AI40"/>
    <mergeCell ref="T39:U39"/>
    <mergeCell ref="W39:Y39"/>
    <mergeCell ref="AH39:AI39"/>
    <mergeCell ref="AP40:AR40"/>
    <mergeCell ref="AP39:AR39"/>
    <mergeCell ref="BA41:BB41"/>
    <mergeCell ref="AU42:AX42"/>
    <mergeCell ref="AY42:AZ42"/>
    <mergeCell ref="BA42:BB42"/>
    <mergeCell ref="AP41:AR41"/>
    <mergeCell ref="AU41:AX41"/>
    <mergeCell ref="AY41:AZ41"/>
    <mergeCell ref="AP42:AR42"/>
    <mergeCell ref="T42:U42"/>
    <mergeCell ref="W42:Y42"/>
    <mergeCell ref="AH42:AI42"/>
    <mergeCell ref="T41:U41"/>
    <mergeCell ref="W41:Y41"/>
    <mergeCell ref="AH41:AI41"/>
    <mergeCell ref="BA43:BB43"/>
    <mergeCell ref="AU44:AX44"/>
    <mergeCell ref="AY44:AZ44"/>
    <mergeCell ref="BA44:BB44"/>
    <mergeCell ref="AP43:AR43"/>
    <mergeCell ref="AU43:AX43"/>
    <mergeCell ref="AY43:AZ43"/>
    <mergeCell ref="AP44:AR44"/>
    <mergeCell ref="T44:U44"/>
    <mergeCell ref="W44:Y44"/>
    <mergeCell ref="AH44:AI44"/>
    <mergeCell ref="T43:U43"/>
    <mergeCell ref="W43:Y43"/>
    <mergeCell ref="AH43:AI43"/>
    <mergeCell ref="BA45:BB45"/>
    <mergeCell ref="AU46:AX46"/>
    <mergeCell ref="AY46:AZ46"/>
    <mergeCell ref="BA46:BB46"/>
    <mergeCell ref="AP45:AR45"/>
    <mergeCell ref="AU45:AX45"/>
    <mergeCell ref="AY45:AZ45"/>
    <mergeCell ref="AP46:AR46"/>
    <mergeCell ref="T46:U46"/>
    <mergeCell ref="W46:Y46"/>
    <mergeCell ref="AH46:AI46"/>
    <mergeCell ref="T45:U45"/>
    <mergeCell ref="W45:Y45"/>
    <mergeCell ref="AH45:AI45"/>
    <mergeCell ref="T50:U50"/>
    <mergeCell ref="W50:Y50"/>
    <mergeCell ref="AH50:AI50"/>
    <mergeCell ref="T49:U49"/>
    <mergeCell ref="W49:Y49"/>
    <mergeCell ref="AH49:AI49"/>
    <mergeCell ref="AP50:AR50"/>
    <mergeCell ref="BA47:BB47"/>
    <mergeCell ref="AU48:AX48"/>
    <mergeCell ref="AY48:AZ48"/>
    <mergeCell ref="BA48:BB48"/>
    <mergeCell ref="AP47:AR47"/>
    <mergeCell ref="AU47:AX47"/>
    <mergeCell ref="AY47:AZ47"/>
    <mergeCell ref="AP48:AR48"/>
    <mergeCell ref="T48:U48"/>
    <mergeCell ref="W48:Y48"/>
    <mergeCell ref="AH48:AI48"/>
    <mergeCell ref="T47:U47"/>
    <mergeCell ref="W47:Y47"/>
    <mergeCell ref="AH47:AI47"/>
    <mergeCell ref="BA51:BB51"/>
    <mergeCell ref="BA49:BB49"/>
    <mergeCell ref="AU50:AX50"/>
    <mergeCell ref="AY50:AZ50"/>
    <mergeCell ref="BA50:BB50"/>
    <mergeCell ref="AU51:AX51"/>
    <mergeCell ref="AY51:AZ51"/>
    <mergeCell ref="AP49:AR49"/>
    <mergeCell ref="AU49:AX49"/>
    <mergeCell ref="AY49:AZ49"/>
    <mergeCell ref="AP51:AR51"/>
    <mergeCell ref="AU53:AX53"/>
    <mergeCell ref="T54:U54"/>
    <mergeCell ref="AP53:AR53"/>
    <mergeCell ref="T53:U53"/>
    <mergeCell ref="W53:Y53"/>
    <mergeCell ref="AJ53:AO53"/>
    <mergeCell ref="O52:S52"/>
    <mergeCell ref="BA53:BB53"/>
    <mergeCell ref="AU52:AX52"/>
    <mergeCell ref="AY52:AZ52"/>
    <mergeCell ref="BA52:BB52"/>
    <mergeCell ref="AY53:AZ53"/>
    <mergeCell ref="AD53:AI53"/>
    <mergeCell ref="AP52:AR52"/>
    <mergeCell ref="T51:U51"/>
    <mergeCell ref="W51:Y51"/>
    <mergeCell ref="AH51:AI51"/>
    <mergeCell ref="T52:U52"/>
    <mergeCell ref="W52:Y52"/>
    <mergeCell ref="AH52:AI52"/>
    <mergeCell ref="O51:S51"/>
    <mergeCell ref="V54:Y54"/>
    <mergeCell ref="F55:H55"/>
    <mergeCell ref="I55:K55"/>
    <mergeCell ref="M54:P54"/>
    <mergeCell ref="Q54:R54"/>
    <mergeCell ref="A54:L54"/>
    <mergeCell ref="A55:B55"/>
    <mergeCell ref="C55:E55"/>
    <mergeCell ref="L55:Q55"/>
    <mergeCell ref="R55:U55"/>
    <mergeCell ref="B53:N53"/>
    <mergeCell ref="O53:S53"/>
    <mergeCell ref="AM55:AN55"/>
    <mergeCell ref="AY55:AZ55"/>
    <mergeCell ref="BA55:BB55"/>
    <mergeCell ref="A56:B56"/>
    <mergeCell ref="L56:M56"/>
    <mergeCell ref="N56:O56"/>
    <mergeCell ref="P56:Q56"/>
    <mergeCell ref="S56:T56"/>
    <mergeCell ref="V56:W56"/>
    <mergeCell ref="X56:Y56"/>
    <mergeCell ref="V55:W55"/>
    <mergeCell ref="X55:Y55"/>
    <mergeCell ref="AO55:AP55"/>
    <mergeCell ref="AV55:AX55"/>
    <mergeCell ref="Z55:AA55"/>
    <mergeCell ref="AB55:AC55"/>
    <mergeCell ref="AE55:AF55"/>
    <mergeCell ref="AG55:AH55"/>
    <mergeCell ref="AI55:AJ55"/>
    <mergeCell ref="AK55:AL55"/>
    <mergeCell ref="P57:Q57"/>
    <mergeCell ref="AO56:AP56"/>
    <mergeCell ref="AV56:AX56"/>
    <mergeCell ref="AK57:AL57"/>
    <mergeCell ref="AM57:AN57"/>
    <mergeCell ref="AO57:AP57"/>
    <mergeCell ref="AV57:AX57"/>
    <mergeCell ref="Z56:AA56"/>
    <mergeCell ref="AG56:AH56"/>
    <mergeCell ref="AI56:AJ56"/>
    <mergeCell ref="AK56:AL56"/>
    <mergeCell ref="AM56:AN56"/>
    <mergeCell ref="S57:T57"/>
    <mergeCell ref="V57:W57"/>
    <mergeCell ref="AB56:AC56"/>
    <mergeCell ref="AE56:AF56"/>
    <mergeCell ref="X57:Y57"/>
    <mergeCell ref="A58:B58"/>
    <mergeCell ref="L58:M58"/>
    <mergeCell ref="N58:O58"/>
    <mergeCell ref="P58:Q58"/>
    <mergeCell ref="X59:Y59"/>
    <mergeCell ref="Z59:AA59"/>
    <mergeCell ref="AY56:AZ56"/>
    <mergeCell ref="BA56:BB56"/>
    <mergeCell ref="AY57:AZ57"/>
    <mergeCell ref="BA57:BB57"/>
    <mergeCell ref="X58:Y58"/>
    <mergeCell ref="Z58:AA58"/>
    <mergeCell ref="AY58:AZ58"/>
    <mergeCell ref="BA58:BB58"/>
    <mergeCell ref="Z57:AA57"/>
    <mergeCell ref="AB57:AC57"/>
    <mergeCell ref="AE57:AF57"/>
    <mergeCell ref="AG57:AH57"/>
    <mergeCell ref="AI57:AJ57"/>
    <mergeCell ref="AB58:AC58"/>
    <mergeCell ref="AE58:AG58"/>
    <mergeCell ref="A57:B57"/>
    <mergeCell ref="L57:M57"/>
    <mergeCell ref="N57:O57"/>
    <mergeCell ref="BA59:BB59"/>
    <mergeCell ref="AY59:AZ59"/>
    <mergeCell ref="L59:M59"/>
    <mergeCell ref="N59:O59"/>
    <mergeCell ref="P59:Q59"/>
    <mergeCell ref="AN58:AP58"/>
    <mergeCell ref="AV58:AX58"/>
    <mergeCell ref="AN59:AP59"/>
    <mergeCell ref="AV59:AX59"/>
    <mergeCell ref="AH58:AJ58"/>
    <mergeCell ref="AK58:AM58"/>
    <mergeCell ref="S59:T59"/>
    <mergeCell ref="S58:T58"/>
    <mergeCell ref="V58:W58"/>
    <mergeCell ref="AE59:AG59"/>
    <mergeCell ref="AH59:AJ59"/>
    <mergeCell ref="AK59:AM59"/>
    <mergeCell ref="A60:B60"/>
    <mergeCell ref="L60:M60"/>
    <mergeCell ref="N60:O60"/>
    <mergeCell ref="P60:Q60"/>
    <mergeCell ref="L61:M61"/>
    <mergeCell ref="AE61:AI61"/>
    <mergeCell ref="AJ61:AP61"/>
    <mergeCell ref="A59:B59"/>
    <mergeCell ref="X61:Y61"/>
    <mergeCell ref="Z60:AA60"/>
    <mergeCell ref="S60:T60"/>
    <mergeCell ref="V60:W60"/>
    <mergeCell ref="X60:Y60"/>
    <mergeCell ref="V59:W59"/>
    <mergeCell ref="A61:B61"/>
    <mergeCell ref="AB59:AC59"/>
    <mergeCell ref="AV60:AX60"/>
    <mergeCell ref="AY60:AZ60"/>
    <mergeCell ref="AE60:AI60"/>
    <mergeCell ref="AJ60:AP60"/>
    <mergeCell ref="BA62:BB62"/>
    <mergeCell ref="Z61:AA61"/>
    <mergeCell ref="AB61:AC61"/>
    <mergeCell ref="AV61:AX61"/>
    <mergeCell ref="AY61:AZ61"/>
    <mergeCell ref="BA60:BB60"/>
    <mergeCell ref="AB60:AC60"/>
    <mergeCell ref="V62:W62"/>
    <mergeCell ref="X62:Y62"/>
    <mergeCell ref="Z62:AA62"/>
    <mergeCell ref="AB62:AC62"/>
    <mergeCell ref="AV62:AX62"/>
    <mergeCell ref="AY62:AZ62"/>
    <mergeCell ref="S61:T61"/>
    <mergeCell ref="V61:W61"/>
    <mergeCell ref="N61:O61"/>
    <mergeCell ref="P61:Q61"/>
    <mergeCell ref="B7:N7"/>
    <mergeCell ref="O7:S7"/>
    <mergeCell ref="A66:F66"/>
    <mergeCell ref="B10:N10"/>
    <mergeCell ref="O10:S10"/>
    <mergeCell ref="A64:F64"/>
    <mergeCell ref="AV64:AX64"/>
    <mergeCell ref="AY64:AZ64"/>
    <mergeCell ref="BA64:BB64"/>
    <mergeCell ref="A65:F65"/>
    <mergeCell ref="G65:R65"/>
    <mergeCell ref="S65:X65"/>
    <mergeCell ref="Y65:AE65"/>
    <mergeCell ref="AF65:AI67"/>
    <mergeCell ref="AV65:AX65"/>
    <mergeCell ref="A63:F63"/>
    <mergeCell ref="AV63:AX63"/>
    <mergeCell ref="AY63:AZ63"/>
    <mergeCell ref="G63:R63"/>
    <mergeCell ref="S63:X63"/>
    <mergeCell ref="BA63:BB63"/>
    <mergeCell ref="Y63:AE63"/>
    <mergeCell ref="AF63:AI63"/>
    <mergeCell ref="AJ63:AO63"/>
    <mergeCell ref="B9:N9"/>
    <mergeCell ref="O9:S9"/>
    <mergeCell ref="B8:N8"/>
    <mergeCell ref="O8:S8"/>
    <mergeCell ref="B13:N13"/>
    <mergeCell ref="O13:S13"/>
    <mergeCell ref="A69:E69"/>
    <mergeCell ref="G69:BB69"/>
    <mergeCell ref="A67:F67"/>
    <mergeCell ref="B15:N15"/>
    <mergeCell ref="O15:S15"/>
    <mergeCell ref="BA67:BB67"/>
    <mergeCell ref="BA65:BB65"/>
    <mergeCell ref="BA66:BB66"/>
    <mergeCell ref="B21:N21"/>
    <mergeCell ref="O21:S21"/>
    <mergeCell ref="AY65:AZ65"/>
    <mergeCell ref="AV66:AX66"/>
    <mergeCell ref="AY66:AZ66"/>
    <mergeCell ref="AV67:AX67"/>
    <mergeCell ref="AY67:AZ67"/>
    <mergeCell ref="AP63:AU63"/>
    <mergeCell ref="BA61:BB61"/>
    <mergeCell ref="A62:U62"/>
    <mergeCell ref="B16:N16"/>
    <mergeCell ref="O16:S16"/>
    <mergeCell ref="B17:N17"/>
    <mergeCell ref="O17:S17"/>
    <mergeCell ref="B18:N18"/>
    <mergeCell ref="O18:S18"/>
    <mergeCell ref="B14:N14"/>
    <mergeCell ref="O14:S14"/>
    <mergeCell ref="B11:N11"/>
    <mergeCell ref="O11:S11"/>
    <mergeCell ref="B12:N12"/>
    <mergeCell ref="O12:S12"/>
    <mergeCell ref="B19:N19"/>
    <mergeCell ref="O19:S19"/>
    <mergeCell ref="B20:N20"/>
    <mergeCell ref="O20:S20"/>
    <mergeCell ref="B27:N27"/>
    <mergeCell ref="O27:S27"/>
    <mergeCell ref="B22:N22"/>
    <mergeCell ref="O22:S22"/>
    <mergeCell ref="B23:N23"/>
    <mergeCell ref="O23:S23"/>
    <mergeCell ref="B28:N28"/>
    <mergeCell ref="O28:S28"/>
    <mergeCell ref="T28:U28"/>
    <mergeCell ref="T31:U31"/>
    <mergeCell ref="O31:S31"/>
    <mergeCell ref="B31:N31"/>
    <mergeCell ref="G29:U30"/>
    <mergeCell ref="A29:F30"/>
    <mergeCell ref="B24:N24"/>
    <mergeCell ref="O24:S24"/>
    <mergeCell ref="B25:N25"/>
    <mergeCell ref="O25:S25"/>
    <mergeCell ref="B26:N26"/>
    <mergeCell ref="O26:S26"/>
    <mergeCell ref="B32:N32"/>
    <mergeCell ref="O32:S32"/>
    <mergeCell ref="B34:N34"/>
    <mergeCell ref="O34:S34"/>
    <mergeCell ref="B37:N37"/>
    <mergeCell ref="O37:S37"/>
    <mergeCell ref="B33:N33"/>
    <mergeCell ref="O33:S33"/>
    <mergeCell ref="B35:N35"/>
    <mergeCell ref="O35:S35"/>
    <mergeCell ref="B41:N41"/>
    <mergeCell ref="O41:S41"/>
    <mergeCell ref="B46:N46"/>
    <mergeCell ref="O46:S46"/>
    <mergeCell ref="B47:N47"/>
    <mergeCell ref="B42:N42"/>
    <mergeCell ref="O42:S42"/>
    <mergeCell ref="B43:N43"/>
    <mergeCell ref="B36:N36"/>
    <mergeCell ref="O36:S36"/>
    <mergeCell ref="O43:S43"/>
    <mergeCell ref="B44:N44"/>
    <mergeCell ref="B38:N38"/>
    <mergeCell ref="O38:S38"/>
    <mergeCell ref="B39:N39"/>
    <mergeCell ref="O39:S39"/>
    <mergeCell ref="B40:N40"/>
    <mergeCell ref="O40:S40"/>
    <mergeCell ref="B50:N50"/>
    <mergeCell ref="O50:S50"/>
    <mergeCell ref="B52:N52"/>
    <mergeCell ref="O44:S44"/>
    <mergeCell ref="B45:N45"/>
    <mergeCell ref="O45:S45"/>
    <mergeCell ref="O47:S47"/>
    <mergeCell ref="O49:S49"/>
    <mergeCell ref="B51:N51"/>
    <mergeCell ref="B48:N48"/>
    <mergeCell ref="O48:S48"/>
    <mergeCell ref="B49:N49"/>
  </mergeCells>
  <phoneticPr fontId="13"/>
  <dataValidations count="5">
    <dataValidation type="list" allowBlank="1" showInputMessage="1" showErrorMessage="1" sqref="AF7:AF27 AF32:AF52" xr:uid="{00000000-0002-0000-0500-000000000000}">
      <formula1>gka</formula1>
    </dataValidation>
    <dataValidation type="list" allowBlank="1" showInputMessage="1" showErrorMessage="1" sqref="AG7:AG27 AG32:AG52" xr:uid="{00000000-0002-0000-0500-000001000000}">
      <formula1>gkb</formula1>
    </dataValidation>
    <dataValidation type="list" allowBlank="1" showInputMessage="1" showErrorMessage="1" sqref="AC7:AC28 AC32:AC53" xr:uid="{00000000-0002-0000-0500-000002000000}">
      <formula1>GS</formula1>
    </dataValidation>
    <dataValidation type="list" allowBlank="1" showInputMessage="1" showErrorMessage="1" sqref="AT7:AT28 AT32:AT53" xr:uid="{00000000-0002-0000-0500-000003000000}">
      <formula1>MIN</formula1>
    </dataValidation>
    <dataValidation type="list" allowBlank="1" showInputMessage="1" showErrorMessage="1" sqref="AU7:AX28 AU32:AX53" xr:uid="{00000000-0002-0000-0500-000004000000}">
      <formula1>PENALTY</formula1>
    </dataValidation>
  </dataValidations>
  <printOptions horizontalCentered="1" verticalCentered="1"/>
  <pageMargins left="0" right="0" top="0.19685039370078741" bottom="0" header="0" footer="0.35433070866141736"/>
  <pageSetup paperSize="9" orientation="portrait" horizontalDpi="4294967293" r:id="rId1"/>
  <ignoredErrors>
    <ignoredError sqref="AY7:AZ26 AY27:AZ28 AO2 AY32:AZ53 AG56:AH57 AM56:AN57 AH58:AP59 AV56:AX67" unlockedFormula="1"/>
  </ignoredErrors>
  <drawing r:id="rId2"/>
  <legacyDrawing r:id="rId3"/>
  <controls>
    <mc:AlternateContent xmlns:mc="http://schemas.openxmlformats.org/markup-compatibility/2006">
      <mc:Choice Requires="x14">
        <control shapeId="4098" r:id="rId4" name="Label2">
          <controlPr print="0" autoLine="0" r:id="rId5">
            <anchor moveWithCells="1">
              <from>
                <xdr:col>6</xdr:col>
                <xdr:colOff>45720</xdr:colOff>
                <xdr:row>69</xdr:row>
                <xdr:rowOff>60960</xdr:rowOff>
              </from>
              <to>
                <xdr:col>33</xdr:col>
                <xdr:colOff>68580</xdr:colOff>
                <xdr:row>71</xdr:row>
                <xdr:rowOff>38100</xdr:rowOff>
              </to>
            </anchor>
          </controlPr>
        </control>
      </mc:Choice>
      <mc:Fallback>
        <control shapeId="4098" r:id="rId4" name="Label2"/>
      </mc:Fallback>
    </mc:AlternateContent>
    <mc:AlternateContent xmlns:mc="http://schemas.openxmlformats.org/markup-compatibility/2006">
      <mc:Choice Requires="x14">
        <control shapeId="4097" r:id="rId6" name="Label1">
          <controlPr print="0" autoLine="0" r:id="rId7">
            <anchor moveWithCells="1">
              <from>
                <xdr:col>35</xdr:col>
                <xdr:colOff>106680</xdr:colOff>
                <xdr:row>0</xdr:row>
                <xdr:rowOff>0</xdr:rowOff>
              </from>
              <to>
                <xdr:col>54</xdr:col>
                <xdr:colOff>297180</xdr:colOff>
                <xdr:row>0</xdr:row>
                <xdr:rowOff>228600</xdr:rowOff>
              </to>
            </anchor>
          </controlPr>
        </control>
      </mc:Choice>
      <mc:Fallback>
        <control shapeId="4097" r:id="rId6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2:S80"/>
  <sheetViews>
    <sheetView topLeftCell="A2" workbookViewId="0">
      <selection activeCell="T21" sqref="T21"/>
    </sheetView>
  </sheetViews>
  <sheetFormatPr defaultColWidth="9" defaultRowHeight="12" x14ac:dyDescent="0.2"/>
  <cols>
    <col min="1" max="1" width="5.88671875" style="52" customWidth="1"/>
    <col min="2" max="2" width="9.6640625" style="52" customWidth="1"/>
    <col min="3" max="3" width="9.88671875" style="55" customWidth="1"/>
    <col min="4" max="4" width="25.88671875" style="55" customWidth="1"/>
    <col min="5" max="5" width="5.88671875" style="55" customWidth="1"/>
    <col min="6" max="6" width="8.88671875" style="55" customWidth="1"/>
    <col min="7" max="7" width="5.88671875" style="52" customWidth="1"/>
    <col min="8" max="8" width="7" style="55" customWidth="1"/>
    <col min="9" max="9" width="15.6640625" style="52" customWidth="1"/>
    <col min="10" max="10" width="16.44140625" style="52" customWidth="1"/>
    <col min="11" max="13" width="3.88671875" style="52" hidden="1" customWidth="1"/>
    <col min="14" max="14" width="9" style="52"/>
    <col min="15" max="19" width="7.109375" style="52" hidden="1" customWidth="1"/>
    <col min="20" max="16384" width="9" style="52"/>
  </cols>
  <sheetData>
    <row r="2" spans="1:19" ht="60.6" customHeight="1" thickBot="1" x14ac:dyDescent="0.25">
      <c r="B2" s="992" t="s">
        <v>200</v>
      </c>
      <c r="C2" s="993"/>
      <c r="D2" s="993"/>
      <c r="E2" s="993"/>
      <c r="F2" s="994"/>
      <c r="O2" s="995" t="s">
        <v>201</v>
      </c>
      <c r="P2" s="996"/>
      <c r="R2" s="995" t="s">
        <v>202</v>
      </c>
      <c r="S2" s="996"/>
    </row>
    <row r="3" spans="1:19" ht="27" customHeight="1" thickBot="1" x14ac:dyDescent="0.25">
      <c r="B3" s="58" t="s">
        <v>203</v>
      </c>
      <c r="C3" s="59" t="s">
        <v>204</v>
      </c>
      <c r="D3" s="60" t="s">
        <v>205</v>
      </c>
      <c r="E3" s="61" t="s">
        <v>206</v>
      </c>
      <c r="F3" s="61" t="s">
        <v>207</v>
      </c>
      <c r="H3" s="316" t="s">
        <v>203</v>
      </c>
      <c r="I3" s="63" t="s">
        <v>208</v>
      </c>
      <c r="J3" s="64" t="s">
        <v>209</v>
      </c>
      <c r="K3" s="71" t="s">
        <v>210</v>
      </c>
      <c r="L3" s="71" t="s">
        <v>211</v>
      </c>
      <c r="M3" s="71" t="s">
        <v>212</v>
      </c>
      <c r="O3" s="55" t="s">
        <v>213</v>
      </c>
      <c r="P3" s="55" t="s">
        <v>114</v>
      </c>
      <c r="Q3" s="55"/>
      <c r="R3" s="55" t="s">
        <v>213</v>
      </c>
      <c r="S3" s="55" t="s">
        <v>114</v>
      </c>
    </row>
    <row r="4" spans="1:19" ht="13.8" thickTop="1" x14ac:dyDescent="0.2">
      <c r="A4" s="94" t="s">
        <v>214</v>
      </c>
      <c r="B4" s="107" t="s">
        <v>472</v>
      </c>
      <c r="C4" s="112">
        <f t="shared" ref="C4:C25" si="0">IF(B4="","-",VLOOKUP(B4,$H$4:$M$80,5,FALSE))</f>
        <v>0</v>
      </c>
      <c r="D4" s="62" t="str">
        <f>IF(B4="","-",VLOOKUP(B4,$H$4:$I$80,2,FALSE))</f>
        <v>V   岡部　直樹</v>
      </c>
      <c r="E4" s="312" t="str">
        <f>IF((IF(B4="","",VLOOKUP(B4,$H$4:$M$80,6,FALSE)))="","",(IF(B4="","",VLOOKUP(B4,$H$4:$M$80,6,FALSE))))</f>
        <v/>
      </c>
      <c r="F4" s="65" t="s">
        <v>213</v>
      </c>
      <c r="H4" s="66" t="s">
        <v>215</v>
      </c>
      <c r="I4" s="67" t="s">
        <v>983</v>
      </c>
      <c r="J4" s="67" t="s">
        <v>216</v>
      </c>
      <c r="K4" s="71"/>
      <c r="L4" s="71"/>
      <c r="M4" s="71"/>
      <c r="O4" s="52">
        <f>COUNTIF(GameSheet!$Z$7:$Z$28,C4)</f>
        <v>0</v>
      </c>
      <c r="P4" s="52">
        <f>COUNTIF(GameSheet!$AA$7:$AB$28,C4)</f>
        <v>0</v>
      </c>
      <c r="R4" s="52" t="str">
        <f>_xlfn.XLOOKUP(H4,$B$4:$B$25,$O$4:$O$25,"")</f>
        <v/>
      </c>
      <c r="S4" s="52" t="str">
        <f>_xlfn.XLOOKUP(H4,$B$4:$B$25,$P$4:$P$25,"")</f>
        <v/>
      </c>
    </row>
    <row r="5" spans="1:19" ht="13.8" thickBot="1" x14ac:dyDescent="0.25">
      <c r="A5" s="94" t="s">
        <v>217</v>
      </c>
      <c r="B5" s="108" t="s">
        <v>495</v>
      </c>
      <c r="C5" s="111">
        <f t="shared" si="0"/>
        <v>0</v>
      </c>
      <c r="D5" s="69" t="str">
        <f>IF(B5="","-",VLOOKUP(B5,$H$4:$I$80,2,FALSE))</f>
        <v>V   渡邊　周</v>
      </c>
      <c r="E5" s="313" t="str">
        <f>IF((IF(B5="","",VLOOKUP(B5,$H$4:$M$80,6,FALSE)))="","",(IF(B5="","",VLOOKUP(B5,$H$4:$M$80,6,FALSE))))</f>
        <v/>
      </c>
      <c r="F5" s="68" t="str">
        <f>IF(D5="-","-","G")</f>
        <v>G</v>
      </c>
      <c r="H5" s="66" t="s">
        <v>39</v>
      </c>
      <c r="I5" s="67" t="s">
        <v>985</v>
      </c>
      <c r="J5" s="67" t="s">
        <v>216</v>
      </c>
      <c r="K5" s="71"/>
      <c r="L5" s="71"/>
      <c r="M5" s="71"/>
      <c r="O5" s="52">
        <f>COUNTIF(GameSheet!$Z$7:$Z$28,C5)</f>
        <v>0</v>
      </c>
      <c r="P5" s="52">
        <f>COUNTIF(GameSheet!$AA$7:$AB$28,C5)</f>
        <v>0</v>
      </c>
      <c r="R5" s="52" t="str">
        <f t="shared" ref="R5:R43" si="1">_xlfn.XLOOKUP(H5,$B$4:$B$25,$O$4:$O$25,"")</f>
        <v/>
      </c>
      <c r="S5" s="52" t="str">
        <f t="shared" ref="S5:S43" si="2">_xlfn.XLOOKUP(H5,$B$4:$B$25,$P$4:$P$25,"")</f>
        <v/>
      </c>
    </row>
    <row r="6" spans="1:19" ht="13.2" x14ac:dyDescent="0.2">
      <c r="B6" s="107" t="s">
        <v>350</v>
      </c>
      <c r="C6" s="110">
        <f t="shared" si="0"/>
        <v>0</v>
      </c>
      <c r="D6" s="70" t="str">
        <f t="shared" ref="D6:D27" si="3">IF(B6="","-",VLOOKUP(B6,$H$4:$I$80,2,FALSE))</f>
        <v xml:space="preserve">      Ｈｅｒｍｅｎｉｕｓ　Ｈａｎｓ</v>
      </c>
      <c r="E6" s="261" t="str">
        <f>IF((IF(B6="","",VLOOKUP(B6,$H$4:$M$80,6,FALSE)))="","",(IF(B6="","",VLOOKUP(B6,$H$4:$M$80,6,FALSE))))</f>
        <v/>
      </c>
      <c r="F6" s="110">
        <f>IF(B6="","-",VLOOKUP(B6,$H$4:$M$80,4,FALSE))</f>
        <v>0</v>
      </c>
      <c r="H6" s="66" t="s">
        <v>54</v>
      </c>
      <c r="I6" s="67" t="s">
        <v>987</v>
      </c>
      <c r="J6" s="67" t="s">
        <v>216</v>
      </c>
      <c r="K6" s="71"/>
      <c r="L6" s="71"/>
      <c r="M6" s="71"/>
      <c r="O6" s="52">
        <f>COUNTIF(GameSheet!$Z$7:$Z$28,C6)</f>
        <v>0</v>
      </c>
      <c r="P6" s="52">
        <f>COUNTIF(GameSheet!$AA$7:$AB$28,C6)</f>
        <v>0</v>
      </c>
      <c r="R6" s="52" t="str">
        <f t="shared" si="1"/>
        <v/>
      </c>
      <c r="S6" s="52" t="str">
        <f t="shared" si="2"/>
        <v/>
      </c>
    </row>
    <row r="7" spans="1:19" ht="13.2" x14ac:dyDescent="0.2">
      <c r="B7" s="107" t="s">
        <v>358</v>
      </c>
      <c r="C7" s="112">
        <f t="shared" si="0"/>
        <v>0</v>
      </c>
      <c r="D7" s="71" t="str">
        <f t="shared" si="3"/>
        <v xml:space="preserve">      村石　和実</v>
      </c>
      <c r="E7" s="112" t="str">
        <f t="shared" ref="E7:E25" si="4">IF((IF(B7="","",VLOOKUP(B7,$H$4:$M$80,6,FALSE)))="","",(IF(B7="","",VLOOKUP(B7,$H$4:$M$80,6,FALSE))))</f>
        <v/>
      </c>
      <c r="F7" s="112">
        <f t="shared" ref="F7:F25" si="5">IF(B7="","-",VLOOKUP(B7,$H$4:$M$80,4,FALSE))</f>
        <v>0</v>
      </c>
      <c r="H7" s="66" t="s">
        <v>218</v>
      </c>
      <c r="I7" s="67" t="s">
        <v>989</v>
      </c>
      <c r="J7" s="67" t="s">
        <v>219</v>
      </c>
      <c r="K7" s="71"/>
      <c r="L7" s="71"/>
      <c r="M7" s="71"/>
      <c r="O7" s="52">
        <f>COUNTIF(GameSheet!$Z$7:$Z$28,C7)</f>
        <v>0</v>
      </c>
      <c r="P7" s="52">
        <f>COUNTIF(GameSheet!$AA$7:$AB$28,C7)</f>
        <v>0</v>
      </c>
      <c r="R7" s="52">
        <f t="shared" si="1"/>
        <v>0</v>
      </c>
      <c r="S7" s="52">
        <f t="shared" si="2"/>
        <v>0</v>
      </c>
    </row>
    <row r="8" spans="1:19" ht="13.2" x14ac:dyDescent="0.2">
      <c r="B8" s="109" t="s">
        <v>364</v>
      </c>
      <c r="C8" s="112">
        <f t="shared" si="0"/>
        <v>0</v>
      </c>
      <c r="D8" s="71" t="str">
        <f t="shared" si="3"/>
        <v xml:space="preserve">      田中　伸史</v>
      </c>
      <c r="E8" s="112" t="str">
        <f t="shared" si="4"/>
        <v/>
      </c>
      <c r="F8" s="112">
        <f t="shared" si="5"/>
        <v>0</v>
      </c>
      <c r="H8" s="66" t="s">
        <v>33</v>
      </c>
      <c r="I8" s="67" t="s">
        <v>991</v>
      </c>
      <c r="J8" s="67" t="s">
        <v>219</v>
      </c>
      <c r="K8" s="71"/>
      <c r="L8" s="71"/>
      <c r="M8" s="71"/>
      <c r="O8" s="52">
        <f>COUNTIF(GameSheet!$Z$7:$Z$28,C8)</f>
        <v>0</v>
      </c>
      <c r="P8" s="52">
        <f>COUNTIF(GameSheet!$AA$7:$AB$28,C8)</f>
        <v>0</v>
      </c>
      <c r="R8" s="52">
        <f t="shared" si="1"/>
        <v>0</v>
      </c>
      <c r="S8" s="52">
        <f t="shared" si="2"/>
        <v>0</v>
      </c>
    </row>
    <row r="9" spans="1:19" ht="13.2" x14ac:dyDescent="0.2">
      <c r="B9" s="109" t="s">
        <v>371</v>
      </c>
      <c r="C9" s="112">
        <f t="shared" si="0"/>
        <v>0</v>
      </c>
      <c r="D9" s="71" t="str">
        <f t="shared" si="3"/>
        <v xml:space="preserve">      持山　剛</v>
      </c>
      <c r="E9" s="112" t="str">
        <f t="shared" si="4"/>
        <v/>
      </c>
      <c r="F9" s="112">
        <f t="shared" si="5"/>
        <v>0</v>
      </c>
      <c r="H9" s="66" t="s">
        <v>52</v>
      </c>
      <c r="I9" s="67" t="s">
        <v>993</v>
      </c>
      <c r="J9" s="67" t="s">
        <v>219</v>
      </c>
      <c r="K9" s="71"/>
      <c r="L9" s="71"/>
      <c r="M9" s="71"/>
      <c r="O9" s="52">
        <f>COUNTIF(GameSheet!$Z$7:$Z$28,C9)</f>
        <v>0</v>
      </c>
      <c r="P9" s="52">
        <f>COUNTIF(GameSheet!$AA$7:$AB$28,C9)</f>
        <v>0</v>
      </c>
      <c r="R9" s="52">
        <f t="shared" si="1"/>
        <v>0</v>
      </c>
      <c r="S9" s="52">
        <f t="shared" si="2"/>
        <v>0</v>
      </c>
    </row>
    <row r="10" spans="1:19" ht="13.2" x14ac:dyDescent="0.2">
      <c r="B10" s="109" t="s">
        <v>378</v>
      </c>
      <c r="C10" s="112">
        <f t="shared" si="0"/>
        <v>0</v>
      </c>
      <c r="D10" s="71" t="str">
        <f t="shared" si="3"/>
        <v xml:space="preserve">      渡邊　誠</v>
      </c>
      <c r="E10" s="112" t="str">
        <f t="shared" si="4"/>
        <v/>
      </c>
      <c r="F10" s="112">
        <f t="shared" si="5"/>
        <v>0</v>
      </c>
      <c r="H10" s="66" t="s">
        <v>220</v>
      </c>
      <c r="I10" s="67" t="s">
        <v>995</v>
      </c>
      <c r="J10" s="67" t="s">
        <v>219</v>
      </c>
      <c r="K10" s="71"/>
      <c r="L10" s="71"/>
      <c r="M10" s="71"/>
      <c r="O10" s="52">
        <f>COUNTIF(GameSheet!$Z$7:$Z$28,C10)</f>
        <v>0</v>
      </c>
      <c r="P10" s="52">
        <f>COUNTIF(GameSheet!$AA$7:$AB$28,C10)</f>
        <v>0</v>
      </c>
      <c r="R10" s="52">
        <f t="shared" si="1"/>
        <v>0</v>
      </c>
      <c r="S10" s="52">
        <f t="shared" si="2"/>
        <v>0</v>
      </c>
    </row>
    <row r="11" spans="1:19" ht="13.2" x14ac:dyDescent="0.2">
      <c r="B11" s="109" t="s">
        <v>384</v>
      </c>
      <c r="C11" s="112">
        <f t="shared" si="0"/>
        <v>0</v>
      </c>
      <c r="D11" s="71" t="str">
        <f t="shared" si="3"/>
        <v xml:space="preserve">      折目　啓伯</v>
      </c>
      <c r="E11" s="112" t="str">
        <f t="shared" si="4"/>
        <v/>
      </c>
      <c r="F11" s="112">
        <f t="shared" si="5"/>
        <v>0</v>
      </c>
      <c r="H11" s="66" t="s">
        <v>221</v>
      </c>
      <c r="I11" s="67" t="s">
        <v>997</v>
      </c>
      <c r="J11" s="67" t="s">
        <v>219</v>
      </c>
      <c r="K11" s="71"/>
      <c r="L11" s="71"/>
      <c r="M11" s="71"/>
      <c r="O11" s="52">
        <f>COUNTIF(GameSheet!$Z$7:$Z$28,C11)</f>
        <v>0</v>
      </c>
      <c r="P11" s="52">
        <f>COUNTIF(GameSheet!$AA$7:$AB$28,C11)</f>
        <v>0</v>
      </c>
      <c r="R11" s="52">
        <f t="shared" si="1"/>
        <v>0</v>
      </c>
      <c r="S11" s="52">
        <f t="shared" si="2"/>
        <v>0</v>
      </c>
    </row>
    <row r="12" spans="1:19" ht="13.2" x14ac:dyDescent="0.2">
      <c r="B12" s="109" t="s">
        <v>390</v>
      </c>
      <c r="C12" s="112">
        <f t="shared" si="0"/>
        <v>0</v>
      </c>
      <c r="D12" s="71" t="str">
        <f t="shared" si="3"/>
        <v xml:space="preserve">      山本　秀彦</v>
      </c>
      <c r="E12" s="112" t="str">
        <f t="shared" si="4"/>
        <v/>
      </c>
      <c r="F12" s="112">
        <f t="shared" si="5"/>
        <v>0</v>
      </c>
      <c r="H12" s="66" t="s">
        <v>222</v>
      </c>
      <c r="I12" s="67" t="s">
        <v>999</v>
      </c>
      <c r="J12" s="67" t="s">
        <v>219</v>
      </c>
      <c r="K12" s="71"/>
      <c r="L12" s="71"/>
      <c r="M12" s="71"/>
      <c r="O12" s="52">
        <f>COUNTIF(GameSheet!$Z$7:$Z$28,C12)</f>
        <v>0</v>
      </c>
      <c r="P12" s="52">
        <f>COUNTIF(GameSheet!$AA$7:$AB$28,C12)</f>
        <v>0</v>
      </c>
      <c r="R12" s="52">
        <f t="shared" si="1"/>
        <v>0</v>
      </c>
      <c r="S12" s="52">
        <f t="shared" si="2"/>
        <v>0</v>
      </c>
    </row>
    <row r="13" spans="1:19" ht="13.2" x14ac:dyDescent="0.2">
      <c r="B13" s="109" t="s">
        <v>397</v>
      </c>
      <c r="C13" s="112">
        <f t="shared" si="0"/>
        <v>0</v>
      </c>
      <c r="D13" s="71" t="str">
        <f t="shared" si="3"/>
        <v xml:space="preserve">      福谷　和久</v>
      </c>
      <c r="E13" s="112" t="str">
        <f t="shared" si="4"/>
        <v/>
      </c>
      <c r="F13" s="112">
        <f t="shared" si="5"/>
        <v>0</v>
      </c>
      <c r="H13" s="66" t="s">
        <v>59</v>
      </c>
      <c r="I13" s="67" t="s">
        <v>1001</v>
      </c>
      <c r="J13" s="67" t="s">
        <v>219</v>
      </c>
      <c r="K13" s="71"/>
      <c r="L13" s="71"/>
      <c r="M13" s="71"/>
      <c r="O13" s="52">
        <f>COUNTIF(GameSheet!$Z$7:$Z$28,C13)</f>
        <v>0</v>
      </c>
      <c r="P13" s="52">
        <f>COUNTIF(GameSheet!$AA$7:$AB$28,C13)</f>
        <v>0</v>
      </c>
      <c r="R13" s="52">
        <f t="shared" si="1"/>
        <v>0</v>
      </c>
      <c r="S13" s="52">
        <f t="shared" si="2"/>
        <v>0</v>
      </c>
    </row>
    <row r="14" spans="1:19" ht="13.2" x14ac:dyDescent="0.2">
      <c r="B14" s="109" t="s">
        <v>404</v>
      </c>
      <c r="C14" s="112">
        <f t="shared" si="0"/>
        <v>0</v>
      </c>
      <c r="D14" s="71" t="str">
        <f t="shared" si="3"/>
        <v>V   岸井　貴志</v>
      </c>
      <c r="E14" s="112" t="str">
        <f t="shared" si="4"/>
        <v/>
      </c>
      <c r="F14" s="112">
        <f t="shared" si="5"/>
        <v>0</v>
      </c>
      <c r="H14" s="66" t="s">
        <v>223</v>
      </c>
      <c r="I14" s="67" t="s">
        <v>1003</v>
      </c>
      <c r="J14" s="67" t="s">
        <v>219</v>
      </c>
      <c r="K14" s="71"/>
      <c r="L14" s="71"/>
      <c r="M14" s="71"/>
      <c r="O14" s="52">
        <f>COUNTIF(GameSheet!$Z$7:$Z$28,C14)</f>
        <v>0</v>
      </c>
      <c r="P14" s="52">
        <f>COUNTIF(GameSheet!$AA$7:$AB$28,C14)</f>
        <v>0</v>
      </c>
      <c r="R14" s="52">
        <f t="shared" si="1"/>
        <v>0</v>
      </c>
      <c r="S14" s="52">
        <f t="shared" si="2"/>
        <v>0</v>
      </c>
    </row>
    <row r="15" spans="1:19" ht="13.2" x14ac:dyDescent="0.2">
      <c r="B15" s="109" t="s">
        <v>411</v>
      </c>
      <c r="C15" s="112">
        <f t="shared" si="0"/>
        <v>0</v>
      </c>
      <c r="D15" s="71" t="str">
        <f t="shared" si="3"/>
        <v>V   三浦　雅也</v>
      </c>
      <c r="E15" s="112" t="str">
        <f t="shared" si="4"/>
        <v/>
      </c>
      <c r="F15" s="112">
        <f t="shared" si="5"/>
        <v>0</v>
      </c>
      <c r="H15" s="66" t="s">
        <v>63</v>
      </c>
      <c r="I15" s="67" t="s">
        <v>1005</v>
      </c>
      <c r="J15" s="67" t="s">
        <v>219</v>
      </c>
      <c r="K15" s="71"/>
      <c r="L15" s="71"/>
      <c r="M15" s="71"/>
      <c r="O15" s="52">
        <f>COUNTIF(GameSheet!$Z$7:$Z$28,C15)</f>
        <v>0</v>
      </c>
      <c r="P15" s="52">
        <f>COUNTIF(GameSheet!$AA$7:$AB$28,C15)</f>
        <v>0</v>
      </c>
      <c r="R15" s="52">
        <f t="shared" si="1"/>
        <v>0</v>
      </c>
      <c r="S15" s="52">
        <f t="shared" si="2"/>
        <v>0</v>
      </c>
    </row>
    <row r="16" spans="1:19" ht="13.2" x14ac:dyDescent="0.2">
      <c r="B16" s="109" t="s">
        <v>418</v>
      </c>
      <c r="C16" s="112">
        <f t="shared" si="0"/>
        <v>0</v>
      </c>
      <c r="D16" s="71" t="str">
        <f t="shared" si="3"/>
        <v>V   小山田　晃</v>
      </c>
      <c r="E16" s="112" t="str">
        <f t="shared" si="4"/>
        <v/>
      </c>
      <c r="F16" s="112">
        <f t="shared" si="5"/>
        <v>0</v>
      </c>
      <c r="H16" s="66" t="s">
        <v>34</v>
      </c>
      <c r="I16" s="67" t="s">
        <v>1007</v>
      </c>
      <c r="J16" s="67" t="s">
        <v>219</v>
      </c>
      <c r="K16" s="71"/>
      <c r="L16" s="71"/>
      <c r="M16" s="71"/>
      <c r="O16" s="52">
        <f>COUNTIF(GameSheet!$Z$7:$Z$28,C16)</f>
        <v>0</v>
      </c>
      <c r="P16" s="52">
        <f>COUNTIF(GameSheet!$AA$7:$AB$28,C16)</f>
        <v>0</v>
      </c>
      <c r="R16" s="52">
        <f t="shared" si="1"/>
        <v>0</v>
      </c>
      <c r="S16" s="52">
        <f t="shared" si="2"/>
        <v>0</v>
      </c>
    </row>
    <row r="17" spans="2:19" ht="13.2" x14ac:dyDescent="0.2">
      <c r="B17" s="109" t="s">
        <v>425</v>
      </c>
      <c r="C17" s="112">
        <f t="shared" si="0"/>
        <v>0</v>
      </c>
      <c r="D17" s="71" t="str">
        <f t="shared" si="3"/>
        <v>V   吉澤　大器</v>
      </c>
      <c r="E17" s="112" t="str">
        <f t="shared" si="4"/>
        <v/>
      </c>
      <c r="F17" s="112">
        <f t="shared" si="5"/>
        <v>0</v>
      </c>
      <c r="H17" s="66" t="s">
        <v>47</v>
      </c>
      <c r="I17" s="67" t="s">
        <v>1009</v>
      </c>
      <c r="J17" s="67" t="s">
        <v>219</v>
      </c>
      <c r="K17" s="71"/>
      <c r="L17" s="71"/>
      <c r="M17" s="71"/>
      <c r="O17" s="52">
        <f>COUNTIF(GameSheet!$Z$7:$Z$28,C17)</f>
        <v>0</v>
      </c>
      <c r="P17" s="52">
        <f>COUNTIF(GameSheet!$AA$7:$AB$28,C17)</f>
        <v>0</v>
      </c>
      <c r="R17" s="52">
        <f t="shared" si="1"/>
        <v>0</v>
      </c>
      <c r="S17" s="52">
        <f t="shared" si="2"/>
        <v>0</v>
      </c>
    </row>
    <row r="18" spans="2:19" ht="13.2" x14ac:dyDescent="0.2">
      <c r="B18" s="109" t="s">
        <v>433</v>
      </c>
      <c r="C18" s="112">
        <f t="shared" si="0"/>
        <v>0</v>
      </c>
      <c r="D18" s="71" t="str">
        <f t="shared" si="3"/>
        <v>V   山下　直樹</v>
      </c>
      <c r="E18" s="112" t="str">
        <f t="shared" si="4"/>
        <v/>
      </c>
      <c r="F18" s="112">
        <f t="shared" si="5"/>
        <v>0</v>
      </c>
      <c r="H18" s="66" t="s">
        <v>61</v>
      </c>
      <c r="I18" s="67" t="s">
        <v>1011</v>
      </c>
      <c r="J18" s="67" t="s">
        <v>219</v>
      </c>
      <c r="K18" s="71"/>
      <c r="L18" s="71"/>
      <c r="M18" s="71"/>
      <c r="O18" s="52">
        <f>COUNTIF(GameSheet!$Z$7:$Z$28,C18)</f>
        <v>0</v>
      </c>
      <c r="P18" s="52">
        <f>COUNTIF(GameSheet!$AA$7:$AB$28,C18)</f>
        <v>0</v>
      </c>
      <c r="R18" s="52">
        <f t="shared" si="1"/>
        <v>0</v>
      </c>
      <c r="S18" s="52">
        <f t="shared" si="2"/>
        <v>0</v>
      </c>
    </row>
    <row r="19" spans="2:19" ht="13.2" x14ac:dyDescent="0.2">
      <c r="B19" s="109" t="s">
        <v>441</v>
      </c>
      <c r="C19" s="112">
        <f t="shared" si="0"/>
        <v>0</v>
      </c>
      <c r="D19" s="71" t="str">
        <f t="shared" si="3"/>
        <v>V   奥野　稔明</v>
      </c>
      <c r="E19" s="112" t="str">
        <f t="shared" si="4"/>
        <v/>
      </c>
      <c r="F19" s="112">
        <f t="shared" si="5"/>
        <v>0</v>
      </c>
      <c r="H19" s="66" t="s">
        <v>44</v>
      </c>
      <c r="I19" s="67" t="s">
        <v>1013</v>
      </c>
      <c r="J19" s="67" t="s">
        <v>219</v>
      </c>
      <c r="K19" s="71"/>
      <c r="L19" s="71"/>
      <c r="M19" s="71"/>
      <c r="O19" s="52">
        <f>COUNTIF(GameSheet!$Z$7:$Z$28,C19)</f>
        <v>0</v>
      </c>
      <c r="P19" s="52">
        <f>COUNTIF(GameSheet!$AA$7:$AB$28,C19)</f>
        <v>0</v>
      </c>
      <c r="R19" s="52">
        <f t="shared" si="1"/>
        <v>0</v>
      </c>
      <c r="S19" s="52">
        <f t="shared" si="2"/>
        <v>0</v>
      </c>
    </row>
    <row r="20" spans="2:19" ht="13.2" x14ac:dyDescent="0.2">
      <c r="B20" s="109" t="s">
        <v>448</v>
      </c>
      <c r="C20" s="112">
        <f t="shared" si="0"/>
        <v>0</v>
      </c>
      <c r="D20" s="71" t="str">
        <f t="shared" si="3"/>
        <v>V   今里　悠人</v>
      </c>
      <c r="E20" s="112" t="str">
        <f t="shared" si="4"/>
        <v/>
      </c>
      <c r="F20" s="112">
        <f t="shared" si="5"/>
        <v>0</v>
      </c>
      <c r="H20" s="66" t="s">
        <v>224</v>
      </c>
      <c r="I20" s="67" t="s">
        <v>1015</v>
      </c>
      <c r="J20" s="67" t="s">
        <v>219</v>
      </c>
      <c r="K20" s="71"/>
      <c r="L20" s="71"/>
      <c r="M20" s="71"/>
      <c r="O20" s="52">
        <f>COUNTIF(GameSheet!$Z$7:$Z$28,C20)</f>
        <v>0</v>
      </c>
      <c r="P20" s="52">
        <f>COUNTIF(GameSheet!$AA$7:$AB$28,C20)</f>
        <v>0</v>
      </c>
      <c r="R20" s="52">
        <f t="shared" si="1"/>
        <v>0</v>
      </c>
      <c r="S20" s="52">
        <f t="shared" si="2"/>
        <v>0</v>
      </c>
    </row>
    <row r="21" spans="2:19" ht="13.2" x14ac:dyDescent="0.2">
      <c r="B21" s="109" t="s">
        <v>456</v>
      </c>
      <c r="C21" s="112">
        <f t="shared" si="0"/>
        <v>0</v>
      </c>
      <c r="D21" s="71" t="str">
        <f t="shared" si="3"/>
        <v>V   藤澤　岳瞭</v>
      </c>
      <c r="E21" s="112" t="str">
        <f t="shared" si="4"/>
        <v/>
      </c>
      <c r="F21" s="112">
        <f t="shared" si="5"/>
        <v>0</v>
      </c>
      <c r="H21" s="66" t="s">
        <v>49</v>
      </c>
      <c r="I21" s="67" t="s">
        <v>1017</v>
      </c>
      <c r="J21" s="67" t="s">
        <v>219</v>
      </c>
      <c r="K21" s="71"/>
      <c r="L21" s="71"/>
      <c r="M21" s="71"/>
      <c r="O21" s="52">
        <f>COUNTIF(GameSheet!$Z$7:$Z$28,C21)</f>
        <v>0</v>
      </c>
      <c r="P21" s="52">
        <f>COUNTIF(GameSheet!$AA$7:$AB$28,C21)</f>
        <v>0</v>
      </c>
      <c r="R21" s="52">
        <f t="shared" si="1"/>
        <v>0</v>
      </c>
      <c r="S21" s="52">
        <f t="shared" si="2"/>
        <v>0</v>
      </c>
    </row>
    <row r="22" spans="2:19" ht="13.2" x14ac:dyDescent="0.2">
      <c r="B22" s="109" t="s">
        <v>464</v>
      </c>
      <c r="C22" s="112">
        <f t="shared" si="0"/>
        <v>0</v>
      </c>
      <c r="D22" s="71" t="str">
        <f t="shared" si="3"/>
        <v>V   道祖土　貴大</v>
      </c>
      <c r="E22" s="112" t="str">
        <f t="shared" si="4"/>
        <v/>
      </c>
      <c r="F22" s="112">
        <f t="shared" si="5"/>
        <v>0</v>
      </c>
      <c r="H22" s="66" t="s">
        <v>51</v>
      </c>
      <c r="I22" s="67" t="s">
        <v>1019</v>
      </c>
      <c r="J22" s="67" t="s">
        <v>219</v>
      </c>
      <c r="K22" s="71"/>
      <c r="L22" s="71"/>
      <c r="M22" s="71"/>
      <c r="O22" s="52">
        <f>COUNTIF(GameSheet!$Z$7:$Z$28,C22)</f>
        <v>0</v>
      </c>
      <c r="P22" s="52">
        <f>COUNTIF(GameSheet!$AA$7:$AB$28,C22)</f>
        <v>0</v>
      </c>
      <c r="R22" s="52">
        <f t="shared" si="1"/>
        <v>0</v>
      </c>
      <c r="S22" s="52">
        <f t="shared" si="2"/>
        <v>0</v>
      </c>
    </row>
    <row r="23" spans="2:19" ht="13.2" x14ac:dyDescent="0.2">
      <c r="B23" s="109" t="s">
        <v>480</v>
      </c>
      <c r="C23" s="112">
        <f t="shared" si="0"/>
        <v>0</v>
      </c>
      <c r="D23" s="71" t="str">
        <f t="shared" si="3"/>
        <v>V   吉岡　唯</v>
      </c>
      <c r="E23" s="112" t="str">
        <f t="shared" si="4"/>
        <v/>
      </c>
      <c r="F23" s="112">
        <f t="shared" si="5"/>
        <v>0</v>
      </c>
      <c r="H23" s="66" t="s">
        <v>57</v>
      </c>
      <c r="I23" s="67" t="s">
        <v>1021</v>
      </c>
      <c r="J23" s="67" t="s">
        <v>219</v>
      </c>
      <c r="K23" s="71"/>
      <c r="L23" s="71"/>
      <c r="M23" s="71"/>
      <c r="O23" s="52">
        <f>COUNTIF(GameSheet!$Z$7:$Z$28,C23)</f>
        <v>0</v>
      </c>
      <c r="P23" s="52">
        <f>COUNTIF(GameSheet!$AA$7:$AB$28,C23)</f>
        <v>0</v>
      </c>
      <c r="R23" s="52">
        <f t="shared" si="1"/>
        <v>0</v>
      </c>
      <c r="S23" s="52">
        <f t="shared" si="2"/>
        <v>0</v>
      </c>
    </row>
    <row r="24" spans="2:19" ht="13.2" x14ac:dyDescent="0.2">
      <c r="B24" s="109" t="s">
        <v>488</v>
      </c>
      <c r="C24" s="112">
        <f t="shared" si="0"/>
        <v>0</v>
      </c>
      <c r="D24" s="71" t="str">
        <f t="shared" si="3"/>
        <v>V   巴　龍太郎</v>
      </c>
      <c r="E24" s="112" t="str">
        <f t="shared" si="4"/>
        <v/>
      </c>
      <c r="F24" s="112">
        <f t="shared" si="5"/>
        <v>0</v>
      </c>
      <c r="H24" s="66" t="s">
        <v>225</v>
      </c>
      <c r="I24" s="67" t="s">
        <v>1023</v>
      </c>
      <c r="J24" s="67" t="s">
        <v>219</v>
      </c>
      <c r="K24" s="71"/>
      <c r="L24" s="71"/>
      <c r="M24" s="71"/>
      <c r="O24" s="52">
        <f>COUNTIF(GameSheet!$Z$7:$Z$28,C24)</f>
        <v>0</v>
      </c>
      <c r="P24" s="52">
        <f>COUNTIF(GameSheet!$AA$7:$AB$28,C24)</f>
        <v>0</v>
      </c>
      <c r="R24" s="52">
        <f t="shared" si="1"/>
        <v>0</v>
      </c>
      <c r="S24" s="52">
        <f t="shared" si="2"/>
        <v>0</v>
      </c>
    </row>
    <row r="25" spans="2:19" ht="13.8" thickBot="1" x14ac:dyDescent="0.25">
      <c r="B25" s="108" t="s">
        <v>502</v>
      </c>
      <c r="C25" s="111">
        <f t="shared" si="0"/>
        <v>0</v>
      </c>
      <c r="D25" s="69" t="str">
        <f t="shared" si="3"/>
        <v>V   神田　翔真</v>
      </c>
      <c r="E25" s="111" t="str">
        <f t="shared" si="4"/>
        <v/>
      </c>
      <c r="F25" s="111">
        <f t="shared" si="5"/>
        <v>0</v>
      </c>
      <c r="H25" s="66" t="s">
        <v>226</v>
      </c>
      <c r="I25" s="67" t="s">
        <v>1025</v>
      </c>
      <c r="J25" s="67" t="s">
        <v>219</v>
      </c>
      <c r="K25" s="71"/>
      <c r="L25" s="71"/>
      <c r="M25" s="71"/>
      <c r="O25" s="52">
        <f>COUNTIF(GameSheet!$Z$7:$Z$28,C25)</f>
        <v>0</v>
      </c>
      <c r="P25" s="52">
        <f>COUNTIF(GameSheet!$AA$7:$AB$28,C25)</f>
        <v>0</v>
      </c>
      <c r="R25" s="52">
        <f t="shared" si="1"/>
        <v>0</v>
      </c>
      <c r="S25" s="52">
        <f t="shared" si="2"/>
        <v>0</v>
      </c>
    </row>
    <row r="26" spans="2:19" ht="13.2" x14ac:dyDescent="0.2">
      <c r="B26" s="107" t="s">
        <v>364</v>
      </c>
      <c r="C26" s="72" t="s">
        <v>227</v>
      </c>
      <c r="D26" s="70" t="str">
        <f t="shared" si="3"/>
        <v xml:space="preserve">      田中　伸史</v>
      </c>
      <c r="E26" s="65"/>
      <c r="F26" s="65" t="s">
        <v>35</v>
      </c>
      <c r="H26" s="66" t="s">
        <v>38</v>
      </c>
      <c r="I26" s="67" t="s">
        <v>1027</v>
      </c>
      <c r="J26" s="67" t="s">
        <v>219</v>
      </c>
      <c r="K26" s="71"/>
      <c r="L26" s="71"/>
      <c r="M26" s="71"/>
      <c r="R26" s="52">
        <f t="shared" si="1"/>
        <v>0</v>
      </c>
      <c r="S26" s="52">
        <f t="shared" si="2"/>
        <v>0</v>
      </c>
    </row>
    <row r="27" spans="2:19" ht="13.2" x14ac:dyDescent="0.2">
      <c r="B27" s="109" t="s">
        <v>321</v>
      </c>
      <c r="C27" s="73" t="s">
        <v>228</v>
      </c>
      <c r="D27" s="71" t="str">
        <f t="shared" si="3"/>
        <v xml:space="preserve">      西村　憲</v>
      </c>
      <c r="E27" s="22"/>
      <c r="F27" s="22" t="s">
        <v>35</v>
      </c>
      <c r="H27" s="66" t="s">
        <v>229</v>
      </c>
      <c r="I27" s="67" t="s">
        <v>1029</v>
      </c>
      <c r="J27" s="67" t="s">
        <v>219</v>
      </c>
      <c r="K27" s="71"/>
      <c r="L27" s="71"/>
      <c r="M27" s="71"/>
      <c r="R27" s="52">
        <f t="shared" si="1"/>
        <v>0</v>
      </c>
      <c r="S27" s="52">
        <f t="shared" si="2"/>
        <v>0</v>
      </c>
    </row>
    <row r="28" spans="2:19" x14ac:dyDescent="0.2">
      <c r="C28" s="56"/>
      <c r="H28" s="66" t="s">
        <v>42</v>
      </c>
      <c r="I28" s="67" t="s">
        <v>1031</v>
      </c>
      <c r="J28" s="67" t="s">
        <v>219</v>
      </c>
      <c r="K28" s="71"/>
      <c r="L28" s="71"/>
      <c r="M28" s="71"/>
      <c r="R28" s="52">
        <f t="shared" si="1"/>
        <v>0</v>
      </c>
      <c r="S28" s="52">
        <f t="shared" si="2"/>
        <v>0</v>
      </c>
    </row>
    <row r="29" spans="2:19" x14ac:dyDescent="0.2">
      <c r="C29" s="56"/>
      <c r="H29" s="66" t="s">
        <v>64</v>
      </c>
      <c r="I29" s="67"/>
      <c r="J29" s="67"/>
      <c r="K29" s="71" t="s">
        <v>230</v>
      </c>
      <c r="L29" s="71"/>
      <c r="M29" s="71"/>
      <c r="R29" s="52" t="str">
        <f t="shared" si="1"/>
        <v/>
      </c>
      <c r="S29" s="52" t="str">
        <f t="shared" si="2"/>
        <v/>
      </c>
    </row>
    <row r="30" spans="2:19" x14ac:dyDescent="0.2">
      <c r="H30" s="66" t="s">
        <v>231</v>
      </c>
      <c r="I30" s="67"/>
      <c r="J30" s="67"/>
      <c r="K30" s="71" t="s">
        <v>230</v>
      </c>
      <c r="L30" s="71"/>
      <c r="M30" s="71"/>
      <c r="R30" s="52" t="str">
        <f t="shared" si="1"/>
        <v/>
      </c>
      <c r="S30" s="52" t="str">
        <f t="shared" si="2"/>
        <v/>
      </c>
    </row>
    <row r="31" spans="2:19" x14ac:dyDescent="0.2">
      <c r="H31" s="66" t="s">
        <v>65</v>
      </c>
      <c r="I31" s="67"/>
      <c r="J31" s="67"/>
      <c r="K31" s="71"/>
      <c r="L31" s="71"/>
      <c r="M31" s="71"/>
      <c r="R31" s="52" t="str">
        <f t="shared" si="1"/>
        <v/>
      </c>
      <c r="S31" s="52" t="str">
        <f t="shared" si="2"/>
        <v/>
      </c>
    </row>
    <row r="32" spans="2:19" x14ac:dyDescent="0.2">
      <c r="H32" s="66" t="s">
        <v>232</v>
      </c>
      <c r="I32" s="67"/>
      <c r="J32" s="67"/>
      <c r="K32" s="71"/>
      <c r="L32" s="71"/>
      <c r="M32" s="71"/>
      <c r="R32" s="52" t="str">
        <f t="shared" si="1"/>
        <v/>
      </c>
      <c r="S32" s="52" t="str">
        <f t="shared" si="2"/>
        <v/>
      </c>
    </row>
    <row r="33" spans="3:19" x14ac:dyDescent="0.2">
      <c r="C33" s="56"/>
      <c r="H33" s="66" t="s">
        <v>233</v>
      </c>
      <c r="I33" s="67"/>
      <c r="J33" s="67"/>
      <c r="K33" s="71" t="s">
        <v>234</v>
      </c>
      <c r="L33" s="71"/>
      <c r="M33" s="71"/>
      <c r="R33" s="52" t="str">
        <f t="shared" si="1"/>
        <v/>
      </c>
      <c r="S33" s="52" t="str">
        <f t="shared" si="2"/>
        <v/>
      </c>
    </row>
    <row r="34" spans="3:19" x14ac:dyDescent="0.2">
      <c r="C34" s="56"/>
      <c r="H34" s="66" t="s">
        <v>235</v>
      </c>
      <c r="I34" s="67"/>
      <c r="J34" s="67"/>
      <c r="K34" s="71" t="s">
        <v>234</v>
      </c>
      <c r="L34" s="71"/>
      <c r="M34" s="71"/>
      <c r="R34" s="52" t="str">
        <f t="shared" si="1"/>
        <v/>
      </c>
      <c r="S34" s="52" t="str">
        <f t="shared" si="2"/>
        <v/>
      </c>
    </row>
    <row r="35" spans="3:19" x14ac:dyDescent="0.2">
      <c r="C35" s="56"/>
      <c r="H35" s="66" t="s">
        <v>236</v>
      </c>
      <c r="I35" s="67"/>
      <c r="J35" s="67"/>
      <c r="K35" s="71" t="s">
        <v>234</v>
      </c>
      <c r="L35" s="71"/>
      <c r="M35" s="71"/>
      <c r="R35" s="52" t="str">
        <f t="shared" si="1"/>
        <v/>
      </c>
      <c r="S35" s="52" t="str">
        <f t="shared" si="2"/>
        <v/>
      </c>
    </row>
    <row r="36" spans="3:19" x14ac:dyDescent="0.2">
      <c r="C36" s="56"/>
      <c r="H36" s="66" t="s">
        <v>67</v>
      </c>
      <c r="I36" s="67"/>
      <c r="J36" s="67"/>
      <c r="K36" s="71" t="s">
        <v>234</v>
      </c>
      <c r="L36" s="71"/>
      <c r="M36" s="71"/>
      <c r="R36" s="52" t="str">
        <f t="shared" si="1"/>
        <v/>
      </c>
      <c r="S36" s="52" t="str">
        <f t="shared" si="2"/>
        <v/>
      </c>
    </row>
    <row r="37" spans="3:19" x14ac:dyDescent="0.2">
      <c r="C37" s="56"/>
      <c r="H37" s="66" t="s">
        <v>237</v>
      </c>
      <c r="I37" s="67"/>
      <c r="J37" s="67"/>
      <c r="K37" s="71" t="s">
        <v>234</v>
      </c>
      <c r="L37" s="71"/>
      <c r="M37" s="71"/>
      <c r="R37" s="52" t="str">
        <f t="shared" si="1"/>
        <v/>
      </c>
      <c r="S37" s="52" t="str">
        <f t="shared" si="2"/>
        <v/>
      </c>
    </row>
    <row r="38" spans="3:19" x14ac:dyDescent="0.2">
      <c r="C38" s="56"/>
      <c r="H38" s="66" t="s">
        <v>238</v>
      </c>
      <c r="I38" s="67"/>
      <c r="J38" s="67"/>
      <c r="K38" s="71" t="s">
        <v>234</v>
      </c>
      <c r="L38" s="71"/>
      <c r="M38" s="71"/>
      <c r="R38" s="52" t="str">
        <f t="shared" si="1"/>
        <v/>
      </c>
      <c r="S38" s="52" t="str">
        <f t="shared" si="2"/>
        <v/>
      </c>
    </row>
    <row r="39" spans="3:19" x14ac:dyDescent="0.2">
      <c r="C39" s="56"/>
      <c r="H39" s="66" t="s">
        <v>239</v>
      </c>
      <c r="I39" s="67"/>
      <c r="J39" s="67"/>
      <c r="K39" s="71" t="s">
        <v>234</v>
      </c>
      <c r="L39" s="71"/>
      <c r="M39" s="71"/>
      <c r="R39" s="52" t="str">
        <f t="shared" si="1"/>
        <v/>
      </c>
      <c r="S39" s="52" t="str">
        <f t="shared" si="2"/>
        <v/>
      </c>
    </row>
    <row r="40" spans="3:19" x14ac:dyDescent="0.2">
      <c r="C40" s="56"/>
      <c r="H40" s="66" t="s">
        <v>240</v>
      </c>
      <c r="I40" s="67"/>
      <c r="J40" s="67"/>
      <c r="K40" s="71"/>
      <c r="L40" s="71"/>
      <c r="M40" s="71"/>
      <c r="R40" s="52" t="str">
        <f t="shared" si="1"/>
        <v/>
      </c>
      <c r="S40" s="52" t="str">
        <f t="shared" si="2"/>
        <v/>
      </c>
    </row>
    <row r="41" spans="3:19" x14ac:dyDescent="0.2">
      <c r="C41" s="56"/>
      <c r="H41" s="66" t="s">
        <v>241</v>
      </c>
      <c r="I41" s="67"/>
      <c r="J41" s="67"/>
      <c r="K41" s="71"/>
      <c r="L41" s="71"/>
      <c r="M41" s="71"/>
      <c r="R41" s="52" t="str">
        <f t="shared" si="1"/>
        <v/>
      </c>
      <c r="S41" s="52" t="str">
        <f t="shared" si="2"/>
        <v/>
      </c>
    </row>
    <row r="42" spans="3:19" x14ac:dyDescent="0.2">
      <c r="C42" s="56"/>
      <c r="H42" s="66" t="s">
        <v>242</v>
      </c>
      <c r="I42" s="67"/>
      <c r="J42" s="67"/>
      <c r="K42" s="71"/>
      <c r="L42" s="71"/>
      <c r="M42" s="71"/>
      <c r="R42" s="52" t="str">
        <f t="shared" si="1"/>
        <v/>
      </c>
      <c r="S42" s="52" t="str">
        <f t="shared" si="2"/>
        <v/>
      </c>
    </row>
    <row r="43" spans="3:19" x14ac:dyDescent="0.2">
      <c r="C43" s="56"/>
      <c r="H43" s="66" t="s">
        <v>243</v>
      </c>
      <c r="I43" s="67"/>
      <c r="J43" s="67"/>
      <c r="K43" s="71"/>
      <c r="L43" s="71"/>
      <c r="M43" s="71"/>
      <c r="R43" s="52" t="str">
        <f t="shared" si="1"/>
        <v/>
      </c>
      <c r="S43" s="52" t="str">
        <f t="shared" si="2"/>
        <v/>
      </c>
    </row>
    <row r="44" spans="3:19" x14ac:dyDescent="0.2">
      <c r="C44" s="56"/>
      <c r="H44" s="66" t="s">
        <v>244</v>
      </c>
      <c r="I44" s="67"/>
      <c r="J44" s="67"/>
      <c r="K44" s="71"/>
      <c r="L44" s="71"/>
      <c r="M44" s="71"/>
    </row>
    <row r="45" spans="3:19" x14ac:dyDescent="0.2">
      <c r="C45" s="56"/>
      <c r="H45" s="66" t="s">
        <v>245</v>
      </c>
      <c r="I45" s="67"/>
      <c r="J45" s="67"/>
      <c r="K45" s="71"/>
      <c r="L45" s="71"/>
      <c r="M45" s="71"/>
    </row>
    <row r="46" spans="3:19" x14ac:dyDescent="0.2">
      <c r="C46" s="56"/>
      <c r="H46" s="66" t="s">
        <v>246</v>
      </c>
      <c r="I46" s="67"/>
      <c r="J46" s="67"/>
      <c r="K46" s="71"/>
      <c r="L46" s="71"/>
      <c r="M46" s="71"/>
    </row>
    <row r="47" spans="3:19" x14ac:dyDescent="0.2">
      <c r="C47" s="56"/>
      <c r="H47" s="66" t="s">
        <v>247</v>
      </c>
      <c r="I47" s="67"/>
      <c r="J47" s="67"/>
      <c r="K47" s="71"/>
      <c r="L47" s="71"/>
      <c r="M47" s="71"/>
    </row>
    <row r="48" spans="3:19" x14ac:dyDescent="0.2">
      <c r="C48" s="56"/>
      <c r="H48" s="66" t="s">
        <v>248</v>
      </c>
      <c r="I48" s="67"/>
      <c r="J48" s="67"/>
      <c r="K48" s="71"/>
      <c r="L48" s="71"/>
      <c r="M48" s="71"/>
    </row>
    <row r="49" spans="3:13" x14ac:dyDescent="0.2">
      <c r="C49" s="56"/>
      <c r="H49" s="66" t="s">
        <v>249</v>
      </c>
      <c r="I49" s="67"/>
      <c r="J49" s="67"/>
      <c r="K49" s="71"/>
      <c r="L49" s="71"/>
      <c r="M49" s="71"/>
    </row>
    <row r="50" spans="3:13" x14ac:dyDescent="0.2">
      <c r="C50" s="56"/>
      <c r="H50" s="66" t="s">
        <v>250</v>
      </c>
      <c r="I50" s="67"/>
      <c r="J50" s="67"/>
      <c r="K50" s="71"/>
      <c r="L50" s="71"/>
      <c r="M50" s="71"/>
    </row>
    <row r="51" spans="3:13" x14ac:dyDescent="0.2">
      <c r="C51" s="56"/>
      <c r="H51" s="66" t="s">
        <v>251</v>
      </c>
      <c r="I51" s="67"/>
      <c r="J51" s="67"/>
      <c r="K51" s="71"/>
      <c r="L51" s="71"/>
      <c r="M51" s="71"/>
    </row>
    <row r="52" spans="3:13" x14ac:dyDescent="0.2">
      <c r="C52" s="56"/>
      <c r="H52" s="66" t="s">
        <v>252</v>
      </c>
      <c r="I52" s="67"/>
      <c r="J52" s="67"/>
      <c r="K52" s="71"/>
      <c r="L52" s="71"/>
      <c r="M52" s="71"/>
    </row>
    <row r="53" spans="3:13" x14ac:dyDescent="0.2">
      <c r="C53" s="56"/>
      <c r="H53" s="66" t="s">
        <v>253</v>
      </c>
      <c r="I53" s="67"/>
      <c r="J53" s="67"/>
      <c r="K53" s="71"/>
      <c r="L53" s="71"/>
      <c r="M53" s="71"/>
    </row>
    <row r="54" spans="3:13" x14ac:dyDescent="0.2">
      <c r="C54" s="56"/>
      <c r="H54" s="66" t="s">
        <v>254</v>
      </c>
      <c r="I54" s="67"/>
      <c r="J54" s="67"/>
      <c r="K54" s="71"/>
      <c r="L54" s="71"/>
      <c r="M54" s="71"/>
    </row>
    <row r="55" spans="3:13" x14ac:dyDescent="0.2">
      <c r="H55" s="66" t="s">
        <v>255</v>
      </c>
      <c r="I55" s="67"/>
      <c r="J55" s="67"/>
      <c r="K55" s="71"/>
      <c r="L55" s="71"/>
      <c r="M55" s="71"/>
    </row>
    <row r="56" spans="3:13" x14ac:dyDescent="0.2">
      <c r="H56" s="66" t="s">
        <v>256</v>
      </c>
      <c r="I56" s="67"/>
      <c r="J56" s="67"/>
      <c r="K56" s="71"/>
      <c r="L56" s="71"/>
      <c r="M56" s="71"/>
    </row>
    <row r="57" spans="3:13" x14ac:dyDescent="0.2">
      <c r="H57" s="66" t="s">
        <v>257</v>
      </c>
      <c r="I57" s="67"/>
      <c r="J57" s="67"/>
      <c r="K57" s="71"/>
      <c r="L57" s="71"/>
      <c r="M57" s="71"/>
    </row>
    <row r="58" spans="3:13" x14ac:dyDescent="0.2">
      <c r="H58" s="66" t="s">
        <v>258</v>
      </c>
      <c r="I58" s="67"/>
      <c r="J58" s="67"/>
      <c r="K58" s="71"/>
      <c r="L58" s="71"/>
      <c r="M58" s="71"/>
    </row>
    <row r="59" spans="3:13" x14ac:dyDescent="0.2">
      <c r="H59" s="66" t="s">
        <v>259</v>
      </c>
      <c r="I59" s="67"/>
      <c r="J59" s="67"/>
      <c r="K59" s="71"/>
      <c r="L59" s="71"/>
      <c r="M59" s="71"/>
    </row>
    <row r="60" spans="3:13" x14ac:dyDescent="0.2">
      <c r="H60" s="66" t="s">
        <v>260</v>
      </c>
      <c r="I60" s="67"/>
      <c r="J60" s="67"/>
      <c r="K60" s="71"/>
      <c r="L60" s="71"/>
      <c r="M60" s="71"/>
    </row>
    <row r="61" spans="3:13" x14ac:dyDescent="0.2">
      <c r="H61" s="66" t="s">
        <v>261</v>
      </c>
      <c r="I61" s="67"/>
      <c r="J61" s="67"/>
      <c r="K61" s="71"/>
      <c r="L61" s="71"/>
      <c r="M61" s="71"/>
    </row>
    <row r="62" spans="3:13" x14ac:dyDescent="0.2">
      <c r="H62" s="66" t="s">
        <v>262</v>
      </c>
      <c r="I62" s="67"/>
      <c r="J62" s="67"/>
      <c r="K62" s="71"/>
      <c r="L62" s="71"/>
      <c r="M62" s="71"/>
    </row>
    <row r="63" spans="3:13" x14ac:dyDescent="0.2">
      <c r="H63" s="66" t="s">
        <v>263</v>
      </c>
      <c r="I63" s="67"/>
      <c r="J63" s="67"/>
      <c r="K63" s="71"/>
      <c r="L63" s="71"/>
      <c r="M63" s="71"/>
    </row>
    <row r="64" spans="3:13" x14ac:dyDescent="0.2">
      <c r="H64" s="66" t="s">
        <v>264</v>
      </c>
      <c r="I64" s="67"/>
      <c r="J64" s="67"/>
      <c r="K64" s="71"/>
      <c r="L64" s="71"/>
      <c r="M64" s="71"/>
    </row>
    <row r="65" spans="8:13" x14ac:dyDescent="0.2">
      <c r="H65" s="66" t="s">
        <v>265</v>
      </c>
      <c r="I65" s="67"/>
      <c r="J65" s="67"/>
      <c r="K65" s="71"/>
      <c r="L65" s="71"/>
      <c r="M65" s="71"/>
    </row>
    <row r="66" spans="8:13" x14ac:dyDescent="0.2">
      <c r="H66" s="66" t="s">
        <v>266</v>
      </c>
      <c r="I66" s="67"/>
      <c r="J66" s="67"/>
      <c r="K66" s="71"/>
      <c r="L66" s="71"/>
      <c r="M66" s="71"/>
    </row>
    <row r="67" spans="8:13" x14ac:dyDescent="0.2">
      <c r="H67" s="66" t="s">
        <v>267</v>
      </c>
      <c r="I67" s="67"/>
      <c r="J67" s="67"/>
      <c r="K67" s="71"/>
      <c r="L67" s="71"/>
      <c r="M67" s="71"/>
    </row>
    <row r="68" spans="8:13" x14ac:dyDescent="0.2">
      <c r="H68" s="66" t="s">
        <v>268</v>
      </c>
      <c r="I68" s="67"/>
      <c r="J68" s="67"/>
      <c r="K68" s="71"/>
      <c r="L68" s="71"/>
      <c r="M68" s="71"/>
    </row>
    <row r="69" spans="8:13" x14ac:dyDescent="0.2">
      <c r="H69" s="66" t="s">
        <v>269</v>
      </c>
      <c r="I69" s="67"/>
      <c r="J69" s="67"/>
      <c r="K69" s="71"/>
      <c r="L69" s="71"/>
      <c r="M69" s="71"/>
    </row>
    <row r="70" spans="8:13" x14ac:dyDescent="0.2">
      <c r="H70" s="66" t="s">
        <v>270</v>
      </c>
      <c r="I70" s="67"/>
      <c r="J70" s="67"/>
      <c r="K70" s="71"/>
      <c r="L70" s="71"/>
      <c r="M70" s="71"/>
    </row>
    <row r="71" spans="8:13" x14ac:dyDescent="0.2">
      <c r="H71" s="66" t="s">
        <v>271</v>
      </c>
      <c r="I71" s="67"/>
      <c r="J71" s="67"/>
      <c r="K71" s="71"/>
      <c r="L71" s="71"/>
      <c r="M71" s="71"/>
    </row>
    <row r="72" spans="8:13" x14ac:dyDescent="0.2">
      <c r="H72" s="66" t="s">
        <v>272</v>
      </c>
      <c r="I72" s="67"/>
      <c r="J72" s="67"/>
      <c r="K72" s="71"/>
      <c r="L72" s="71"/>
      <c r="M72" s="71"/>
    </row>
    <row r="73" spans="8:13" x14ac:dyDescent="0.2">
      <c r="H73" s="66" t="s">
        <v>273</v>
      </c>
      <c r="I73" s="67"/>
      <c r="J73" s="67"/>
      <c r="K73" s="71"/>
      <c r="L73" s="71"/>
      <c r="M73" s="71"/>
    </row>
    <row r="74" spans="8:13" x14ac:dyDescent="0.2">
      <c r="H74" s="66" t="s">
        <v>274</v>
      </c>
      <c r="I74" s="67"/>
      <c r="J74" s="67"/>
      <c r="K74" s="71"/>
      <c r="L74" s="71"/>
      <c r="M74" s="71"/>
    </row>
    <row r="75" spans="8:13" x14ac:dyDescent="0.2">
      <c r="H75" s="66" t="s">
        <v>275</v>
      </c>
      <c r="I75" s="67"/>
      <c r="J75" s="67"/>
      <c r="K75" s="71"/>
      <c r="L75" s="71"/>
      <c r="M75" s="71"/>
    </row>
    <row r="76" spans="8:13" x14ac:dyDescent="0.2">
      <c r="H76" s="66" t="s">
        <v>276</v>
      </c>
      <c r="I76" s="67"/>
      <c r="J76" s="67"/>
      <c r="K76" s="71"/>
      <c r="L76" s="71"/>
      <c r="M76" s="71"/>
    </row>
    <row r="77" spans="8:13" x14ac:dyDescent="0.2">
      <c r="H77" s="66" t="s">
        <v>277</v>
      </c>
      <c r="I77" s="67"/>
      <c r="J77" s="67"/>
      <c r="K77" s="71"/>
      <c r="L77" s="71"/>
      <c r="M77" s="71"/>
    </row>
    <row r="78" spans="8:13" x14ac:dyDescent="0.2">
      <c r="H78" s="66" t="s">
        <v>278</v>
      </c>
      <c r="I78" s="67"/>
      <c r="J78" s="67"/>
      <c r="K78" s="71"/>
      <c r="L78" s="71"/>
      <c r="M78" s="71"/>
    </row>
    <row r="79" spans="8:13" x14ac:dyDescent="0.2">
      <c r="H79" s="66" t="s">
        <v>279</v>
      </c>
      <c r="I79" s="67"/>
      <c r="J79" s="67"/>
      <c r="K79" s="71"/>
      <c r="L79" s="71"/>
      <c r="M79" s="71"/>
    </row>
    <row r="80" spans="8:13" x14ac:dyDescent="0.2">
      <c r="H80" s="66" t="s">
        <v>280</v>
      </c>
      <c r="I80" s="71"/>
      <c r="J80" s="67"/>
      <c r="K80" s="71"/>
      <c r="L80" s="71"/>
      <c r="M80" s="71"/>
    </row>
  </sheetData>
  <mergeCells count="3">
    <mergeCell ref="B2:F2"/>
    <mergeCell ref="O2:P2"/>
    <mergeCell ref="R2:S2"/>
  </mergeCells>
  <phoneticPr fontId="2"/>
  <dataValidations count="3">
    <dataValidation type="list" allowBlank="1" showInputMessage="1" showErrorMessage="1" sqref="E4:E25" xr:uid="{00000000-0002-0000-0600-000000000000}">
      <formula1>CA</formula1>
    </dataValidation>
    <dataValidation type="list" allowBlank="1" showInputMessage="1" showErrorMessage="1" sqref="F6:F25" xr:uid="{00000000-0002-0000-0600-000001000000}">
      <formula1>POS</formula1>
    </dataValidation>
    <dataValidation type="list" imeMode="off" allowBlank="1" showInputMessage="1" showErrorMessage="1" sqref="B4:B27" xr:uid="{00000000-0002-0000-0600-000002000000}">
      <formula1>regA</formula1>
    </dataValidation>
  </dataValidations>
  <printOptions horizontalCentered="1" verticalCentered="1"/>
  <pageMargins left="0.39370078740157483" right="0.39370078740157483" top="0.19685039370078741" bottom="0.19685039370078741" header="0.51181102362204722" footer="0.51181102362204722"/>
  <pageSetup paperSize="9"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4" r:id="rId4" name="CommandButton1">
          <controlPr autoLine="0" r:id="rId5">
            <anchor moveWithCells="1">
              <from>
                <xdr:col>7</xdr:col>
                <xdr:colOff>30480</xdr:colOff>
                <xdr:row>1</xdr:row>
                <xdr:rowOff>297180</xdr:rowOff>
              </from>
              <to>
                <xdr:col>9</xdr:col>
                <xdr:colOff>822960</xdr:colOff>
                <xdr:row>1</xdr:row>
                <xdr:rowOff>601980</xdr:rowOff>
              </to>
            </anchor>
          </controlPr>
        </control>
      </mc:Choice>
      <mc:Fallback>
        <control shapeId="5124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BE80"/>
  <sheetViews>
    <sheetView workbookViewId="0">
      <selection activeCell="B4" sqref="B4"/>
    </sheetView>
  </sheetViews>
  <sheetFormatPr defaultColWidth="9" defaultRowHeight="12" x14ac:dyDescent="0.2"/>
  <cols>
    <col min="1" max="1" width="5.88671875" style="52" customWidth="1"/>
    <col min="2" max="2" width="9.6640625" style="52" customWidth="1"/>
    <col min="3" max="3" width="9.88671875" style="55" customWidth="1"/>
    <col min="4" max="4" width="25.88671875" style="55" customWidth="1"/>
    <col min="5" max="5" width="5.88671875" style="55" customWidth="1"/>
    <col min="6" max="6" width="8.88671875" style="55" customWidth="1"/>
    <col min="7" max="7" width="5.88671875" style="52" customWidth="1"/>
    <col min="8" max="8" width="7" style="55" customWidth="1"/>
    <col min="9" max="9" width="15.6640625" style="52" customWidth="1"/>
    <col min="10" max="10" width="16.44140625" style="52" customWidth="1"/>
    <col min="11" max="13" width="3.88671875" style="52" hidden="1" customWidth="1"/>
    <col min="14" max="14" width="9" style="52"/>
    <col min="15" max="19" width="7.33203125" style="52" hidden="1" customWidth="1"/>
    <col min="20" max="16384" width="9" style="52"/>
  </cols>
  <sheetData>
    <row r="1" spans="1:57" x14ac:dyDescent="0.2">
      <c r="K1" s="74"/>
      <c r="L1" s="74"/>
      <c r="M1" s="74"/>
      <c r="N1" s="74"/>
      <c r="O1" s="74"/>
      <c r="P1" s="74"/>
      <c r="Q1" s="74"/>
      <c r="R1" s="74"/>
      <c r="S1" s="74"/>
      <c r="T1" s="74"/>
    </row>
    <row r="2" spans="1:57" ht="60.6" customHeight="1" thickBot="1" x14ac:dyDescent="0.25">
      <c r="B2" s="992" t="s">
        <v>281</v>
      </c>
      <c r="C2" s="993"/>
      <c r="D2" s="993"/>
      <c r="E2" s="993"/>
      <c r="F2" s="994"/>
      <c r="K2" s="74">
        <v>202</v>
      </c>
      <c r="L2" s="74">
        <v>224</v>
      </c>
      <c r="M2" s="74"/>
      <c r="N2" s="74"/>
      <c r="O2" s="995" t="s">
        <v>201</v>
      </c>
      <c r="P2" s="996"/>
      <c r="R2" s="995" t="s">
        <v>202</v>
      </c>
      <c r="S2" s="996"/>
      <c r="T2" s="74" t="s">
        <v>282</v>
      </c>
      <c r="BB2" s="52">
        <v>89</v>
      </c>
      <c r="BC2" s="52">
        <v>122</v>
      </c>
      <c r="BE2" s="52" t="s">
        <v>283</v>
      </c>
    </row>
    <row r="3" spans="1:57" ht="27" customHeight="1" thickBot="1" x14ac:dyDescent="0.25">
      <c r="B3" s="58" t="s">
        <v>203</v>
      </c>
      <c r="C3" s="59" t="s">
        <v>204</v>
      </c>
      <c r="D3" s="60" t="s">
        <v>205</v>
      </c>
      <c r="E3" s="61" t="s">
        <v>206</v>
      </c>
      <c r="F3" s="61" t="s">
        <v>207</v>
      </c>
      <c r="H3" s="62" t="s">
        <v>203</v>
      </c>
      <c r="I3" s="63" t="s">
        <v>208</v>
      </c>
      <c r="J3" s="64" t="s">
        <v>209</v>
      </c>
      <c r="K3" s="71" t="s">
        <v>210</v>
      </c>
      <c r="L3" s="71" t="s">
        <v>211</v>
      </c>
      <c r="M3" s="71" t="s">
        <v>212</v>
      </c>
      <c r="N3" s="74"/>
      <c r="O3" s="55" t="s">
        <v>213</v>
      </c>
      <c r="P3" s="55" t="s">
        <v>114</v>
      </c>
      <c r="Q3" s="55"/>
      <c r="R3" s="55" t="s">
        <v>213</v>
      </c>
      <c r="S3" s="55" t="s">
        <v>114</v>
      </c>
      <c r="T3" s="74"/>
    </row>
    <row r="4" spans="1:57" ht="13.8" thickTop="1" x14ac:dyDescent="0.2">
      <c r="A4" s="94" t="s">
        <v>214</v>
      </c>
      <c r="B4" s="107" t="s">
        <v>472</v>
      </c>
      <c r="C4" s="110">
        <f>IF(B4="","-",VLOOKUP(B4,$H$4:$M$80,5,FALSE))</f>
        <v>0</v>
      </c>
      <c r="D4" s="62" t="str">
        <f>IF(B4="","-",VLOOKUP(B4,$H$4:$I$80,2,FALSE))</f>
        <v>V   松本　知之</v>
      </c>
      <c r="E4" s="312" t="str">
        <f t="shared" ref="E4:E23" si="0">IF((IF(B4="","",VLOOKUP(B4,$H$4:$M$80,6,FALSE)))="","",(IF(B4="","",VLOOKUP(B4,$H$4:$M$80,6,FALSE))))</f>
        <v/>
      </c>
      <c r="F4" s="65" t="s">
        <v>9</v>
      </c>
      <c r="H4" s="66" t="s">
        <v>215</v>
      </c>
      <c r="I4" s="67" t="s">
        <v>993</v>
      </c>
      <c r="J4" s="67" t="s">
        <v>216</v>
      </c>
      <c r="K4" s="71"/>
      <c r="L4" s="71"/>
      <c r="M4" s="71"/>
      <c r="N4" s="74"/>
      <c r="O4" s="52">
        <f>COUNTIF(GameSheet!$Z$32:$Z$53,C4)</f>
        <v>0</v>
      </c>
      <c r="P4" s="52">
        <f>COUNTIF(GameSheet!$AA$32:$AB$53,C4)</f>
        <v>0</v>
      </c>
      <c r="R4" s="52" t="str">
        <f>_xlfn.XLOOKUP(H4,$B$4:$B$25,$O$4:$O$25,"")</f>
        <v/>
      </c>
      <c r="S4" s="52" t="str">
        <f>_xlfn.XLOOKUP(H4,$B$4:$B$25,$P$4:$P$25,"")</f>
        <v/>
      </c>
      <c r="T4" s="74"/>
    </row>
    <row r="5" spans="1:57" ht="13.8" thickBot="1" x14ac:dyDescent="0.25">
      <c r="A5" s="94" t="s">
        <v>217</v>
      </c>
      <c r="B5" s="108" t="s">
        <v>488</v>
      </c>
      <c r="C5" s="111">
        <f t="shared" ref="C5:C25" si="1">IF(B5="","-",VLOOKUP(B5,$H$4:$M$80,5,FALSE))</f>
        <v>0</v>
      </c>
      <c r="D5" s="69" t="str">
        <f>IF(B5="","-",VLOOKUP(B5,$H$4:$I$80,2,FALSE))</f>
        <v>V   田村　宙志</v>
      </c>
      <c r="E5" s="313" t="str">
        <f t="shared" si="0"/>
        <v/>
      </c>
      <c r="F5" s="68" t="str">
        <f>IF(D5="-","-","G")</f>
        <v>G</v>
      </c>
      <c r="H5" s="66" t="s">
        <v>39</v>
      </c>
      <c r="I5" s="67" t="s">
        <v>1036</v>
      </c>
      <c r="J5" s="67" t="s">
        <v>216</v>
      </c>
      <c r="K5" s="71"/>
      <c r="L5" s="71"/>
      <c r="M5" s="71"/>
      <c r="N5" s="74"/>
      <c r="O5" s="52">
        <f>COUNTIF(GameSheet!$Z$32:$Z$53,C5)</f>
        <v>0</v>
      </c>
      <c r="P5" s="52">
        <f>COUNTIF(GameSheet!$AA$32:$AB$53,C5)</f>
        <v>0</v>
      </c>
      <c r="Q5" s="74"/>
      <c r="R5" s="52" t="str">
        <f t="shared" ref="R5:R43" si="2">_xlfn.XLOOKUP(H5,$B$4:$B$25,$O$4:$O$25,"")</f>
        <v/>
      </c>
      <c r="S5" s="52" t="str">
        <f t="shared" ref="S5:S43" si="3">_xlfn.XLOOKUP(H5,$B$4:$B$25,$P$4:$P$25,"")</f>
        <v/>
      </c>
      <c r="T5" s="74"/>
    </row>
    <row r="6" spans="1:57" ht="13.2" x14ac:dyDescent="0.2">
      <c r="B6" s="107" t="s">
        <v>371</v>
      </c>
      <c r="C6" s="110">
        <f t="shared" si="1"/>
        <v>0</v>
      </c>
      <c r="D6" s="70" t="str">
        <f t="shared" ref="D6:D27" si="4">IF(B6="","-",VLOOKUP(B6,$H$4:$I$80,2,FALSE))</f>
        <v xml:space="preserve">      西村　憲</v>
      </c>
      <c r="E6" s="261" t="s">
        <v>1903</v>
      </c>
      <c r="F6" s="110" t="s">
        <v>1904</v>
      </c>
      <c r="H6" s="66" t="s">
        <v>54</v>
      </c>
      <c r="I6" s="67" t="s">
        <v>1037</v>
      </c>
      <c r="J6" s="67" t="s">
        <v>216</v>
      </c>
      <c r="K6" s="71"/>
      <c r="L6" s="71"/>
      <c r="M6" s="71"/>
      <c r="N6" s="74"/>
      <c r="O6" s="52">
        <f>COUNTIF(GameSheet!$Z$32:$Z$53,C6)</f>
        <v>0</v>
      </c>
      <c r="P6" s="52">
        <f>COUNTIF(GameSheet!$AA$32:$AB$53,C6)</f>
        <v>0</v>
      </c>
      <c r="Q6" s="74"/>
      <c r="R6" s="52" t="str">
        <f t="shared" si="2"/>
        <v/>
      </c>
      <c r="S6" s="52" t="str">
        <f t="shared" si="3"/>
        <v/>
      </c>
      <c r="T6" s="74"/>
    </row>
    <row r="7" spans="1:57" ht="13.2" x14ac:dyDescent="0.2">
      <c r="B7" s="109" t="s">
        <v>378</v>
      </c>
      <c r="C7" s="112">
        <f t="shared" si="1"/>
        <v>0</v>
      </c>
      <c r="D7" s="71" t="str">
        <f t="shared" si="4"/>
        <v xml:space="preserve">      木下　和則</v>
      </c>
      <c r="E7" s="112"/>
      <c r="F7" s="112" t="s">
        <v>1904</v>
      </c>
      <c r="H7" s="66" t="s">
        <v>218</v>
      </c>
      <c r="I7" s="67" t="s">
        <v>1038</v>
      </c>
      <c r="J7" s="67" t="s">
        <v>216</v>
      </c>
      <c r="K7" s="71"/>
      <c r="L7" s="71"/>
      <c r="M7" s="71"/>
      <c r="N7" s="74"/>
      <c r="O7" s="52">
        <f>COUNTIF(GameSheet!$Z$32:$Z$53,C7)</f>
        <v>0</v>
      </c>
      <c r="P7" s="52">
        <f>COUNTIF(GameSheet!$AA$32:$AB$53,C7)</f>
        <v>0</v>
      </c>
      <c r="Q7" s="74"/>
      <c r="R7" s="52" t="str">
        <f t="shared" si="2"/>
        <v/>
      </c>
      <c r="S7" s="52" t="str">
        <f t="shared" si="3"/>
        <v/>
      </c>
      <c r="T7" s="74"/>
    </row>
    <row r="8" spans="1:57" ht="13.2" x14ac:dyDescent="0.2">
      <c r="B8" s="109" t="s">
        <v>384</v>
      </c>
      <c r="C8" s="112">
        <f t="shared" si="1"/>
        <v>0</v>
      </c>
      <c r="D8" s="71" t="str">
        <f t="shared" si="4"/>
        <v xml:space="preserve">      佐藤　仁人</v>
      </c>
      <c r="E8" s="112" t="s">
        <v>1903</v>
      </c>
      <c r="F8" s="112" t="s">
        <v>1904</v>
      </c>
      <c r="H8" s="66" t="s">
        <v>33</v>
      </c>
      <c r="I8" s="67" t="s">
        <v>1039</v>
      </c>
      <c r="J8" s="67" t="s">
        <v>219</v>
      </c>
      <c r="K8" s="71"/>
      <c r="L8" s="71"/>
      <c r="M8" s="71"/>
      <c r="N8" s="74"/>
      <c r="O8" s="52">
        <f>COUNTIF(GameSheet!$Z$32:$Z$53,C8)</f>
        <v>0</v>
      </c>
      <c r="P8" s="52">
        <f>COUNTIF(GameSheet!$AA$32:$AB$53,C8)</f>
        <v>0</v>
      </c>
      <c r="Q8" s="74"/>
      <c r="R8" s="52" t="str">
        <f t="shared" si="2"/>
        <v/>
      </c>
      <c r="S8" s="52" t="str">
        <f t="shared" si="3"/>
        <v/>
      </c>
      <c r="T8" s="74"/>
    </row>
    <row r="9" spans="1:57" ht="13.2" x14ac:dyDescent="0.2">
      <c r="B9" s="109" t="s">
        <v>390</v>
      </c>
      <c r="C9" s="112">
        <f t="shared" si="1"/>
        <v>0</v>
      </c>
      <c r="D9" s="71" t="str">
        <f t="shared" si="4"/>
        <v xml:space="preserve">      岩本　純</v>
      </c>
      <c r="E9" s="112" t="str">
        <f t="shared" si="0"/>
        <v/>
      </c>
      <c r="F9" s="112" t="s">
        <v>1904</v>
      </c>
      <c r="H9" s="66" t="s">
        <v>52</v>
      </c>
      <c r="I9" s="67" t="s">
        <v>1040</v>
      </c>
      <c r="J9" s="67" t="s">
        <v>219</v>
      </c>
      <c r="K9" s="71"/>
      <c r="L9" s="71"/>
      <c r="M9" s="71"/>
      <c r="N9" s="74"/>
      <c r="O9" s="52">
        <f>COUNTIF(GameSheet!$Z$32:$Z$53,C9)</f>
        <v>0</v>
      </c>
      <c r="P9" s="52">
        <f>COUNTIF(GameSheet!$AA$32:$AB$53,C9)</f>
        <v>0</v>
      </c>
      <c r="Q9" s="74"/>
      <c r="R9" s="52" t="str">
        <f t="shared" si="2"/>
        <v/>
      </c>
      <c r="S9" s="52" t="str">
        <f t="shared" si="3"/>
        <v/>
      </c>
      <c r="T9" s="74"/>
    </row>
    <row r="10" spans="1:57" ht="13.2" x14ac:dyDescent="0.2">
      <c r="B10" s="109" t="s">
        <v>397</v>
      </c>
      <c r="C10" s="112">
        <f t="shared" si="1"/>
        <v>0</v>
      </c>
      <c r="D10" s="71" t="str">
        <f t="shared" si="4"/>
        <v xml:space="preserve">      賀川　寛之</v>
      </c>
      <c r="E10" s="112" t="str">
        <f t="shared" si="0"/>
        <v/>
      </c>
      <c r="F10" s="112">
        <f t="shared" ref="F10:F25" si="5">IF(B10="","-",VLOOKUP(B10,$H$4:$M$80,4,FALSE))</f>
        <v>0</v>
      </c>
      <c r="H10" s="66" t="s">
        <v>220</v>
      </c>
      <c r="I10" s="67" t="s">
        <v>983</v>
      </c>
      <c r="J10" s="67" t="s">
        <v>219</v>
      </c>
      <c r="K10" s="71"/>
      <c r="L10" s="71"/>
      <c r="M10" s="71"/>
      <c r="N10" s="74"/>
      <c r="O10" s="52">
        <f>COUNTIF(GameSheet!$Z$32:$Z$53,C10)</f>
        <v>0</v>
      </c>
      <c r="P10" s="52">
        <f>COUNTIF(GameSheet!$AA$32:$AB$53,C10)</f>
        <v>0</v>
      </c>
      <c r="Q10" s="74"/>
      <c r="R10" s="52">
        <f t="shared" si="2"/>
        <v>0</v>
      </c>
      <c r="S10" s="52">
        <f t="shared" si="3"/>
        <v>0</v>
      </c>
      <c r="T10" s="74"/>
    </row>
    <row r="11" spans="1:57" ht="13.2" x14ac:dyDescent="0.2">
      <c r="B11" s="109" t="s">
        <v>404</v>
      </c>
      <c r="C11" s="112">
        <f t="shared" si="1"/>
        <v>0</v>
      </c>
      <c r="D11" s="71" t="str">
        <f t="shared" si="4"/>
        <v xml:space="preserve">      塩谷　雅之</v>
      </c>
      <c r="E11" s="112" t="str">
        <f t="shared" si="0"/>
        <v/>
      </c>
      <c r="F11" s="112">
        <f t="shared" si="5"/>
        <v>0</v>
      </c>
      <c r="H11" s="66" t="s">
        <v>221</v>
      </c>
      <c r="I11" s="67" t="s">
        <v>985</v>
      </c>
      <c r="J11" s="67" t="s">
        <v>219</v>
      </c>
      <c r="K11" s="71"/>
      <c r="L11" s="71"/>
      <c r="M11" s="71"/>
      <c r="N11" s="74"/>
      <c r="O11" s="52">
        <f>COUNTIF(GameSheet!$Z$32:$Z$53,C11)</f>
        <v>0</v>
      </c>
      <c r="P11" s="52">
        <f>COUNTIF(GameSheet!$AA$32:$AB$53,C11)</f>
        <v>0</v>
      </c>
      <c r="Q11" s="74"/>
      <c r="R11" s="52">
        <f t="shared" si="2"/>
        <v>0</v>
      </c>
      <c r="S11" s="52">
        <f t="shared" si="3"/>
        <v>0</v>
      </c>
      <c r="T11" s="74"/>
    </row>
    <row r="12" spans="1:57" ht="13.2" x14ac:dyDescent="0.2">
      <c r="B12" s="109" t="s">
        <v>411</v>
      </c>
      <c r="C12" s="112">
        <f t="shared" si="1"/>
        <v>0</v>
      </c>
      <c r="D12" s="71" t="str">
        <f t="shared" si="4"/>
        <v xml:space="preserve">      次田　智一</v>
      </c>
      <c r="E12" s="112" t="str">
        <f t="shared" si="0"/>
        <v/>
      </c>
      <c r="F12" s="112">
        <f t="shared" si="5"/>
        <v>0</v>
      </c>
      <c r="H12" s="66" t="s">
        <v>222</v>
      </c>
      <c r="I12" s="67" t="s">
        <v>1041</v>
      </c>
      <c r="J12" s="67" t="s">
        <v>219</v>
      </c>
      <c r="K12" s="71"/>
      <c r="L12" s="71"/>
      <c r="M12" s="71"/>
      <c r="N12" s="74"/>
      <c r="O12" s="52">
        <f>COUNTIF(GameSheet!$Z$32:$Z$53,C12)</f>
        <v>0</v>
      </c>
      <c r="P12" s="52">
        <f>COUNTIF(GameSheet!$AA$32:$AB$53,C12)</f>
        <v>0</v>
      </c>
      <c r="Q12" s="74"/>
      <c r="R12" s="52">
        <f t="shared" si="2"/>
        <v>0</v>
      </c>
      <c r="S12" s="52">
        <f t="shared" si="3"/>
        <v>0</v>
      </c>
      <c r="T12" s="74"/>
    </row>
    <row r="13" spans="1:57" ht="13.2" x14ac:dyDescent="0.2">
      <c r="B13" s="109" t="s">
        <v>418</v>
      </c>
      <c r="C13" s="112">
        <f t="shared" si="1"/>
        <v>0</v>
      </c>
      <c r="D13" s="71" t="str">
        <f t="shared" si="4"/>
        <v xml:space="preserve">      岸田　考広</v>
      </c>
      <c r="E13" s="112" t="str">
        <f t="shared" si="0"/>
        <v/>
      </c>
      <c r="F13" s="112">
        <f t="shared" si="5"/>
        <v>0</v>
      </c>
      <c r="H13" s="66" t="s">
        <v>59</v>
      </c>
      <c r="I13" s="67" t="s">
        <v>1042</v>
      </c>
      <c r="J13" s="67" t="s">
        <v>219</v>
      </c>
      <c r="K13" s="71"/>
      <c r="L13" s="71"/>
      <c r="M13" s="71"/>
      <c r="N13" s="74"/>
      <c r="O13" s="52">
        <f>COUNTIF(GameSheet!$Z$32:$Z$53,C13)</f>
        <v>0</v>
      </c>
      <c r="P13" s="52">
        <f>COUNTIF(GameSheet!$AA$32:$AB$53,C13)</f>
        <v>0</v>
      </c>
      <c r="Q13" s="74"/>
      <c r="R13" s="52">
        <f t="shared" si="2"/>
        <v>0</v>
      </c>
      <c r="S13" s="52">
        <f t="shared" si="3"/>
        <v>0</v>
      </c>
      <c r="T13" s="74"/>
    </row>
    <row r="14" spans="1:57" ht="13.2" x14ac:dyDescent="0.2">
      <c r="B14" s="109" t="s">
        <v>425</v>
      </c>
      <c r="C14" s="112">
        <f t="shared" si="1"/>
        <v>0</v>
      </c>
      <c r="D14" s="71" t="str">
        <f t="shared" si="4"/>
        <v xml:space="preserve">      竹内　誠司</v>
      </c>
      <c r="E14" s="112" t="str">
        <f t="shared" si="0"/>
        <v/>
      </c>
      <c r="F14" s="112">
        <f t="shared" si="5"/>
        <v>0</v>
      </c>
      <c r="H14" s="66" t="s">
        <v>223</v>
      </c>
      <c r="I14" s="67" t="s">
        <v>1043</v>
      </c>
      <c r="J14" s="67" t="s">
        <v>219</v>
      </c>
      <c r="K14" s="71"/>
      <c r="L14" s="71"/>
      <c r="M14" s="71"/>
      <c r="N14" s="74"/>
      <c r="O14" s="52">
        <f>COUNTIF(GameSheet!$Z$32:$Z$53,C14)</f>
        <v>0</v>
      </c>
      <c r="P14" s="52">
        <f>COUNTIF(GameSheet!$AA$32:$AB$53,C14)</f>
        <v>0</v>
      </c>
      <c r="Q14" s="74"/>
      <c r="R14" s="52">
        <f t="shared" si="2"/>
        <v>0</v>
      </c>
      <c r="S14" s="52">
        <f t="shared" si="3"/>
        <v>0</v>
      </c>
      <c r="T14" s="74"/>
    </row>
    <row r="15" spans="1:57" ht="13.2" x14ac:dyDescent="0.2">
      <c r="B15" s="109" t="s">
        <v>433</v>
      </c>
      <c r="C15" s="112">
        <f t="shared" si="1"/>
        <v>0</v>
      </c>
      <c r="D15" s="71" t="str">
        <f t="shared" si="4"/>
        <v xml:space="preserve">      勝山　栄</v>
      </c>
      <c r="E15" s="112" t="str">
        <f t="shared" si="0"/>
        <v/>
      </c>
      <c r="F15" s="112">
        <f t="shared" si="5"/>
        <v>0</v>
      </c>
      <c r="H15" s="66" t="s">
        <v>63</v>
      </c>
      <c r="I15" s="67" t="s">
        <v>1044</v>
      </c>
      <c r="J15" s="67" t="s">
        <v>219</v>
      </c>
      <c r="K15" s="71"/>
      <c r="L15" s="71"/>
      <c r="M15" s="71"/>
      <c r="N15" s="74"/>
      <c r="O15" s="52">
        <f>COUNTIF(GameSheet!$Z$32:$Z$53,C15)</f>
        <v>0</v>
      </c>
      <c r="P15" s="52">
        <f>COUNTIF(GameSheet!$AA$32:$AB$53,C15)</f>
        <v>0</v>
      </c>
      <c r="Q15" s="74"/>
      <c r="R15" s="52">
        <f t="shared" si="2"/>
        <v>0</v>
      </c>
      <c r="S15" s="52">
        <f t="shared" si="3"/>
        <v>0</v>
      </c>
      <c r="T15" s="74"/>
    </row>
    <row r="16" spans="1:57" ht="13.2" x14ac:dyDescent="0.2">
      <c r="B16" s="109" t="s">
        <v>441</v>
      </c>
      <c r="C16" s="112">
        <f t="shared" si="1"/>
        <v>0</v>
      </c>
      <c r="D16" s="71" t="str">
        <f t="shared" si="4"/>
        <v xml:space="preserve">      斎　理</v>
      </c>
      <c r="E16" s="112" t="str">
        <f t="shared" si="0"/>
        <v/>
      </c>
      <c r="F16" s="112">
        <f t="shared" si="5"/>
        <v>0</v>
      </c>
      <c r="H16" s="66" t="s">
        <v>34</v>
      </c>
      <c r="I16" s="67" t="s">
        <v>1045</v>
      </c>
      <c r="J16" s="67" t="s">
        <v>219</v>
      </c>
      <c r="K16" s="71"/>
      <c r="L16" s="71"/>
      <c r="M16" s="71"/>
      <c r="N16" s="74"/>
      <c r="O16" s="52">
        <f>COUNTIF(GameSheet!$Z$32:$Z$53,C16)</f>
        <v>0</v>
      </c>
      <c r="P16" s="52">
        <f>COUNTIF(GameSheet!$AA$32:$AB$53,C16)</f>
        <v>0</v>
      </c>
      <c r="Q16" s="74"/>
      <c r="R16" s="52">
        <f t="shared" si="2"/>
        <v>0</v>
      </c>
      <c r="S16" s="52">
        <f t="shared" si="3"/>
        <v>0</v>
      </c>
      <c r="T16" s="74"/>
    </row>
    <row r="17" spans="2:20" ht="13.2" x14ac:dyDescent="0.2">
      <c r="B17" s="109" t="s">
        <v>448</v>
      </c>
      <c r="C17" s="112">
        <f t="shared" si="1"/>
        <v>0</v>
      </c>
      <c r="D17" s="71" t="str">
        <f t="shared" si="4"/>
        <v>V   萩原　拓</v>
      </c>
      <c r="E17" s="112" t="str">
        <f t="shared" si="0"/>
        <v/>
      </c>
      <c r="F17" s="112">
        <f t="shared" si="5"/>
        <v>0</v>
      </c>
      <c r="H17" s="66" t="s">
        <v>47</v>
      </c>
      <c r="I17" s="67" t="s">
        <v>1046</v>
      </c>
      <c r="J17" s="67" t="s">
        <v>219</v>
      </c>
      <c r="K17" s="71"/>
      <c r="L17" s="71"/>
      <c r="M17" s="71"/>
      <c r="N17" s="74"/>
      <c r="O17" s="52">
        <f>COUNTIF(GameSheet!$Z$32:$Z$53,C17)</f>
        <v>0</v>
      </c>
      <c r="P17" s="52">
        <f>COUNTIF(GameSheet!$AA$32:$AB$53,C17)</f>
        <v>0</v>
      </c>
      <c r="Q17" s="74"/>
      <c r="R17" s="52">
        <f t="shared" si="2"/>
        <v>0</v>
      </c>
      <c r="S17" s="52">
        <f t="shared" si="3"/>
        <v>0</v>
      </c>
      <c r="T17" s="74"/>
    </row>
    <row r="18" spans="2:20" ht="13.2" x14ac:dyDescent="0.2">
      <c r="B18" s="109" t="s">
        <v>456</v>
      </c>
      <c r="C18" s="112">
        <f t="shared" si="1"/>
        <v>0</v>
      </c>
      <c r="D18" s="71" t="str">
        <f t="shared" si="4"/>
        <v>V   岩崎　佑樹</v>
      </c>
      <c r="E18" s="112" t="str">
        <f t="shared" si="0"/>
        <v/>
      </c>
      <c r="F18" s="112">
        <f t="shared" si="5"/>
        <v>0</v>
      </c>
      <c r="H18" s="66" t="s">
        <v>61</v>
      </c>
      <c r="I18" s="67" t="s">
        <v>1047</v>
      </c>
      <c r="J18" s="67" t="s">
        <v>219</v>
      </c>
      <c r="K18" s="71"/>
      <c r="L18" s="71"/>
      <c r="M18" s="71"/>
      <c r="N18" s="74"/>
      <c r="O18" s="52">
        <f>COUNTIF(GameSheet!$Z$32:$Z$53,C18)</f>
        <v>0</v>
      </c>
      <c r="P18" s="52">
        <f>COUNTIF(GameSheet!$AA$32:$AB$53,C18)</f>
        <v>0</v>
      </c>
      <c r="Q18" s="74"/>
      <c r="R18" s="52">
        <f t="shared" si="2"/>
        <v>0</v>
      </c>
      <c r="S18" s="52">
        <f t="shared" si="3"/>
        <v>0</v>
      </c>
      <c r="T18" s="74"/>
    </row>
    <row r="19" spans="2:20" ht="13.2" x14ac:dyDescent="0.2">
      <c r="B19" s="109" t="s">
        <v>464</v>
      </c>
      <c r="C19" s="112">
        <f t="shared" si="1"/>
        <v>0</v>
      </c>
      <c r="D19" s="71" t="str">
        <f t="shared" si="4"/>
        <v>V   鈴木　政洋</v>
      </c>
      <c r="E19" s="112" t="s">
        <v>1902</v>
      </c>
      <c r="F19" s="112">
        <f t="shared" si="5"/>
        <v>0</v>
      </c>
      <c r="H19" s="66" t="s">
        <v>44</v>
      </c>
      <c r="I19" s="67" t="s">
        <v>1048</v>
      </c>
      <c r="J19" s="67" t="s">
        <v>219</v>
      </c>
      <c r="K19" s="71"/>
      <c r="L19" s="71"/>
      <c r="M19" s="71"/>
      <c r="N19" s="74"/>
      <c r="O19" s="52">
        <f>COUNTIF(GameSheet!$Z$32:$Z$53,C19)</f>
        <v>0</v>
      </c>
      <c r="P19" s="52">
        <f>COUNTIF(GameSheet!$AA$32:$AB$53,C19)</f>
        <v>0</v>
      </c>
      <c r="Q19" s="74"/>
      <c r="R19" s="52">
        <f t="shared" si="2"/>
        <v>0</v>
      </c>
      <c r="S19" s="52">
        <f t="shared" si="3"/>
        <v>0</v>
      </c>
      <c r="T19" s="74"/>
    </row>
    <row r="20" spans="2:20" ht="13.2" x14ac:dyDescent="0.2">
      <c r="B20" s="109" t="s">
        <v>480</v>
      </c>
      <c r="C20" s="112">
        <f t="shared" si="1"/>
        <v>0</v>
      </c>
      <c r="D20" s="71" t="str">
        <f t="shared" si="4"/>
        <v>V   長尾　翔太</v>
      </c>
      <c r="E20" s="112" t="str">
        <f t="shared" si="0"/>
        <v/>
      </c>
      <c r="F20" s="112">
        <f t="shared" si="5"/>
        <v>0</v>
      </c>
      <c r="H20" s="66" t="s">
        <v>224</v>
      </c>
      <c r="I20" s="67" t="s">
        <v>1049</v>
      </c>
      <c r="J20" s="67" t="s">
        <v>219</v>
      </c>
      <c r="K20" s="71"/>
      <c r="L20" s="71"/>
      <c r="M20" s="71"/>
      <c r="N20" s="74"/>
      <c r="O20" s="52">
        <f>COUNTIF(GameSheet!$Z$32:$Z$53,C20)</f>
        <v>0</v>
      </c>
      <c r="P20" s="52">
        <f>COUNTIF(GameSheet!$AA$32:$AB$53,C20)</f>
        <v>0</v>
      </c>
      <c r="Q20" s="74"/>
      <c r="R20" s="52">
        <f t="shared" si="2"/>
        <v>0</v>
      </c>
      <c r="S20" s="52">
        <f t="shared" si="3"/>
        <v>0</v>
      </c>
      <c r="T20" s="74"/>
    </row>
    <row r="21" spans="2:20" ht="13.2" x14ac:dyDescent="0.2">
      <c r="B21" s="109"/>
      <c r="C21" s="112" t="str">
        <f t="shared" si="1"/>
        <v>-</v>
      </c>
      <c r="D21" s="71" t="str">
        <f t="shared" si="4"/>
        <v>-</v>
      </c>
      <c r="E21" s="112" t="str">
        <f t="shared" si="0"/>
        <v/>
      </c>
      <c r="F21" s="112" t="str">
        <f t="shared" si="5"/>
        <v>-</v>
      </c>
      <c r="H21" s="66" t="s">
        <v>49</v>
      </c>
      <c r="I21" s="67" t="s">
        <v>1050</v>
      </c>
      <c r="J21" s="67" t="s">
        <v>219</v>
      </c>
      <c r="K21" s="71"/>
      <c r="L21" s="71"/>
      <c r="M21" s="71"/>
      <c r="N21" s="74"/>
      <c r="O21" s="52">
        <f>COUNTIF(GameSheet!$Z$32:$Z$53,C21)</f>
        <v>0</v>
      </c>
      <c r="P21" s="52">
        <f>COUNTIF(GameSheet!$AA$32:$AB$53,C21)</f>
        <v>0</v>
      </c>
      <c r="Q21" s="74"/>
      <c r="R21" s="52">
        <f t="shared" si="2"/>
        <v>0</v>
      </c>
      <c r="S21" s="52">
        <f t="shared" si="3"/>
        <v>0</v>
      </c>
      <c r="T21" s="74"/>
    </row>
    <row r="22" spans="2:20" ht="13.2" x14ac:dyDescent="0.2">
      <c r="B22" s="109"/>
      <c r="C22" s="112" t="str">
        <f t="shared" si="1"/>
        <v>-</v>
      </c>
      <c r="D22" s="71" t="str">
        <f t="shared" si="4"/>
        <v>-</v>
      </c>
      <c r="E22" s="112" t="str">
        <f t="shared" si="0"/>
        <v/>
      </c>
      <c r="F22" s="112" t="str">
        <f t="shared" si="5"/>
        <v>-</v>
      </c>
      <c r="H22" s="66" t="s">
        <v>51</v>
      </c>
      <c r="I22" s="67" t="s">
        <v>1051</v>
      </c>
      <c r="J22" s="67" t="s">
        <v>219</v>
      </c>
      <c r="K22" s="71"/>
      <c r="L22" s="71"/>
      <c r="M22" s="71"/>
      <c r="N22" s="74"/>
      <c r="O22" s="52">
        <f>COUNTIF(GameSheet!$Z$32:$Z$53,C22)</f>
        <v>0</v>
      </c>
      <c r="P22" s="52">
        <f>COUNTIF(GameSheet!$AA$32:$AB$53,C22)</f>
        <v>0</v>
      </c>
      <c r="Q22" s="74"/>
      <c r="R22" s="52">
        <f t="shared" si="2"/>
        <v>0</v>
      </c>
      <c r="S22" s="52">
        <f t="shared" si="3"/>
        <v>0</v>
      </c>
      <c r="T22" s="74"/>
    </row>
    <row r="23" spans="2:20" ht="13.2" x14ac:dyDescent="0.2">
      <c r="B23" s="109"/>
      <c r="C23" s="112" t="str">
        <f t="shared" si="1"/>
        <v>-</v>
      </c>
      <c r="D23" s="71" t="str">
        <f t="shared" si="4"/>
        <v>-</v>
      </c>
      <c r="E23" s="112" t="str">
        <f t="shared" si="0"/>
        <v/>
      </c>
      <c r="F23" s="112" t="str">
        <f t="shared" si="5"/>
        <v>-</v>
      </c>
      <c r="H23" s="66" t="s">
        <v>57</v>
      </c>
      <c r="I23" s="67" t="s">
        <v>1052</v>
      </c>
      <c r="J23" s="67" t="s">
        <v>219</v>
      </c>
      <c r="K23" s="71"/>
      <c r="L23" s="71"/>
      <c r="M23" s="71"/>
      <c r="N23" s="74"/>
      <c r="O23" s="52">
        <f>COUNTIF(GameSheet!$Z$32:$Z$53,C23)</f>
        <v>0</v>
      </c>
      <c r="P23" s="52">
        <f>COUNTIF(GameSheet!$AA$32:$AB$53,C23)</f>
        <v>0</v>
      </c>
      <c r="Q23" s="74"/>
      <c r="R23" s="52">
        <f t="shared" si="2"/>
        <v>0</v>
      </c>
      <c r="S23" s="52">
        <f t="shared" si="3"/>
        <v>0</v>
      </c>
      <c r="T23" s="74"/>
    </row>
    <row r="24" spans="2:20" ht="13.2" x14ac:dyDescent="0.2">
      <c r="B24" s="109"/>
      <c r="C24" s="112" t="str">
        <f t="shared" si="1"/>
        <v>-</v>
      </c>
      <c r="D24" s="71" t="str">
        <f t="shared" si="4"/>
        <v>-</v>
      </c>
      <c r="E24" s="112" t="str">
        <f>IF((IF(B24="","",VLOOKUP(B24,$H$4:$M$80,6,FALSE)))="","",(IF(B24="","",VLOOKUP(B24,$H$4:$M$80,6,FALSE))))</f>
        <v/>
      </c>
      <c r="F24" s="112" t="str">
        <f t="shared" si="5"/>
        <v>-</v>
      </c>
      <c r="H24" s="66" t="s">
        <v>225</v>
      </c>
      <c r="I24" s="67" t="s">
        <v>1053</v>
      </c>
      <c r="J24" s="67" t="s">
        <v>219</v>
      </c>
      <c r="K24" s="71"/>
      <c r="L24" s="71"/>
      <c r="M24" s="71"/>
      <c r="N24" s="74"/>
      <c r="O24" s="52">
        <f>COUNTIF(GameSheet!$Z$32:$Z$53,C24)</f>
        <v>0</v>
      </c>
      <c r="P24" s="52">
        <f>COUNTIF(GameSheet!$AA$32:$AB$53,C24)</f>
        <v>0</v>
      </c>
      <c r="Q24" s="74"/>
      <c r="R24" s="52">
        <f t="shared" si="2"/>
        <v>0</v>
      </c>
      <c r="S24" s="52">
        <f t="shared" si="3"/>
        <v>0</v>
      </c>
      <c r="T24" s="74"/>
    </row>
    <row r="25" spans="2:20" ht="13.8" thickBot="1" x14ac:dyDescent="0.25">
      <c r="B25" s="108"/>
      <c r="C25" s="111" t="str">
        <f t="shared" si="1"/>
        <v>-</v>
      </c>
      <c r="D25" s="69" t="str">
        <f t="shared" si="4"/>
        <v>-</v>
      </c>
      <c r="E25" s="111" t="str">
        <f>IF((IF(B25="","",VLOOKUP(B25,$H$4:$M$80,6,FALSE)))="","",(IF(B25="","",VLOOKUP(B25,$H$4:$M$80,6,FALSE))))</f>
        <v/>
      </c>
      <c r="F25" s="111" t="str">
        <f t="shared" si="5"/>
        <v>-</v>
      </c>
      <c r="H25" s="66" t="s">
        <v>226</v>
      </c>
      <c r="I25" s="67" t="s">
        <v>1054</v>
      </c>
      <c r="J25" s="67" t="s">
        <v>219</v>
      </c>
      <c r="K25" s="71"/>
      <c r="L25" s="71"/>
      <c r="M25" s="71"/>
      <c r="N25" s="74"/>
      <c r="O25" s="52">
        <f>COUNTIF(GameSheet!$Z$32:$Z$53,C25)</f>
        <v>0</v>
      </c>
      <c r="P25" s="52">
        <f>COUNTIF(GameSheet!$AA$32:$AB$53,C25)</f>
        <v>0</v>
      </c>
      <c r="Q25" s="74"/>
      <c r="R25" s="52">
        <f t="shared" si="2"/>
        <v>0</v>
      </c>
      <c r="S25" s="52">
        <f t="shared" si="3"/>
        <v>0</v>
      </c>
      <c r="T25" s="74"/>
    </row>
    <row r="26" spans="2:20" ht="13.2" x14ac:dyDescent="0.2">
      <c r="B26" s="107" t="s">
        <v>378</v>
      </c>
      <c r="C26" s="72" t="s">
        <v>227</v>
      </c>
      <c r="D26" s="70" t="str">
        <f t="shared" si="4"/>
        <v xml:space="preserve">      木下　和則</v>
      </c>
      <c r="E26" s="65" t="str">
        <f>IF((IF(B26="","",VLOOKUP(B26,$H$4:$M$80,6,FALSE)))="","",(IF(B26="","",VLOOKUP(B26,$H$4:$M$80,6,FALSE))))</f>
        <v/>
      </c>
      <c r="F26" s="65" t="s">
        <v>35</v>
      </c>
      <c r="H26" s="66" t="s">
        <v>38</v>
      </c>
      <c r="I26" s="67" t="s">
        <v>1055</v>
      </c>
      <c r="J26" s="67" t="s">
        <v>219</v>
      </c>
      <c r="K26" s="71"/>
      <c r="L26" s="71"/>
      <c r="M26" s="71"/>
      <c r="N26" s="74"/>
      <c r="O26" s="74"/>
      <c r="P26" s="74"/>
      <c r="Q26" s="74"/>
      <c r="R26" s="52">
        <f t="shared" si="2"/>
        <v>0</v>
      </c>
      <c r="S26" s="52">
        <f t="shared" si="3"/>
        <v>0</v>
      </c>
      <c r="T26" s="74"/>
    </row>
    <row r="27" spans="2:20" ht="13.2" x14ac:dyDescent="0.2">
      <c r="B27" s="109" t="s">
        <v>332</v>
      </c>
      <c r="C27" s="73" t="s">
        <v>228</v>
      </c>
      <c r="D27" s="71" t="str">
        <f t="shared" si="4"/>
        <v xml:space="preserve">      岸井　貴志</v>
      </c>
      <c r="E27" s="22" t="str">
        <f>IF((IF(B27="","",VLOOKUP(B27,$H$4:$M$80,6,FALSE)))="","",(IF(B27="","",VLOOKUP(B27,$H$4:$M$80,6,FALSE))))</f>
        <v/>
      </c>
      <c r="F27" s="22" t="s">
        <v>35</v>
      </c>
      <c r="H27" s="66" t="s">
        <v>229</v>
      </c>
      <c r="I27" s="67"/>
      <c r="J27" s="67"/>
      <c r="K27" s="71"/>
      <c r="L27" s="71"/>
      <c r="M27" s="71"/>
      <c r="N27" s="74"/>
      <c r="O27" s="74"/>
      <c r="P27" s="74"/>
      <c r="Q27" s="74"/>
      <c r="R27" s="52" t="str">
        <f t="shared" si="2"/>
        <v/>
      </c>
      <c r="S27" s="52" t="str">
        <f t="shared" si="3"/>
        <v/>
      </c>
      <c r="T27" s="74"/>
    </row>
    <row r="28" spans="2:20" x14ac:dyDescent="0.2">
      <c r="C28" s="56"/>
      <c r="H28" s="66" t="s">
        <v>42</v>
      </c>
      <c r="I28" s="67"/>
      <c r="J28" s="67"/>
      <c r="K28" s="71"/>
      <c r="L28" s="71"/>
      <c r="M28" s="71"/>
      <c r="N28" s="74"/>
      <c r="O28" s="74"/>
      <c r="P28" s="74"/>
      <c r="Q28" s="74"/>
      <c r="R28" s="52" t="str">
        <f t="shared" si="2"/>
        <v/>
      </c>
      <c r="S28" s="52" t="str">
        <f t="shared" si="3"/>
        <v/>
      </c>
      <c r="T28" s="74"/>
    </row>
    <row r="29" spans="2:20" x14ac:dyDescent="0.2">
      <c r="C29" s="56"/>
      <c r="H29" s="66" t="s">
        <v>64</v>
      </c>
      <c r="I29" s="67"/>
      <c r="J29" s="67"/>
      <c r="K29" s="71"/>
      <c r="L29" s="71"/>
      <c r="M29" s="71"/>
      <c r="N29" s="74"/>
      <c r="O29" s="74"/>
      <c r="P29" s="74"/>
      <c r="Q29" s="74"/>
      <c r="R29" s="52" t="str">
        <f t="shared" si="2"/>
        <v/>
      </c>
      <c r="S29" s="52" t="str">
        <f t="shared" si="3"/>
        <v/>
      </c>
      <c r="T29" s="74"/>
    </row>
    <row r="30" spans="2:20" x14ac:dyDescent="0.2">
      <c r="H30" s="66" t="s">
        <v>231</v>
      </c>
      <c r="I30" s="67"/>
      <c r="J30" s="67"/>
      <c r="K30" s="71"/>
      <c r="L30" s="71"/>
      <c r="M30" s="71"/>
      <c r="N30" s="74"/>
      <c r="O30" s="74"/>
      <c r="P30" s="74"/>
      <c r="Q30" s="74"/>
      <c r="R30" s="52" t="str">
        <f t="shared" si="2"/>
        <v/>
      </c>
      <c r="S30" s="52" t="str">
        <f t="shared" si="3"/>
        <v/>
      </c>
      <c r="T30" s="74"/>
    </row>
    <row r="31" spans="2:20" x14ac:dyDescent="0.2">
      <c r="H31" s="66" t="s">
        <v>65</v>
      </c>
      <c r="I31" s="67"/>
      <c r="J31" s="67"/>
      <c r="K31" s="71"/>
      <c r="L31" s="71"/>
      <c r="M31" s="71"/>
      <c r="N31" s="74"/>
      <c r="O31" s="74"/>
      <c r="P31" s="74"/>
      <c r="Q31" s="74"/>
      <c r="R31" s="52" t="str">
        <f t="shared" si="2"/>
        <v/>
      </c>
      <c r="S31" s="52" t="str">
        <f t="shared" si="3"/>
        <v/>
      </c>
      <c r="T31" s="74"/>
    </row>
    <row r="32" spans="2:20" x14ac:dyDescent="0.2">
      <c r="H32" s="66" t="s">
        <v>232</v>
      </c>
      <c r="I32" s="67"/>
      <c r="J32" s="67"/>
      <c r="K32" s="71"/>
      <c r="L32" s="71"/>
      <c r="M32" s="71"/>
      <c r="N32" s="74"/>
      <c r="O32" s="74"/>
      <c r="P32" s="74"/>
      <c r="Q32" s="74"/>
      <c r="R32" s="52" t="str">
        <f t="shared" si="2"/>
        <v/>
      </c>
      <c r="S32" s="52" t="str">
        <f t="shared" si="3"/>
        <v/>
      </c>
      <c r="T32" s="74"/>
    </row>
    <row r="33" spans="3:20" x14ac:dyDescent="0.2">
      <c r="C33" s="56"/>
      <c r="H33" s="66" t="s">
        <v>233</v>
      </c>
      <c r="I33" s="67"/>
      <c r="J33" s="67"/>
      <c r="K33" s="71"/>
      <c r="L33" s="71"/>
      <c r="M33" s="71"/>
      <c r="N33" s="74"/>
      <c r="O33" s="74"/>
      <c r="P33" s="74"/>
      <c r="Q33" s="74"/>
      <c r="R33" s="52" t="str">
        <f t="shared" si="2"/>
        <v/>
      </c>
      <c r="S33" s="52" t="str">
        <f t="shared" si="3"/>
        <v/>
      </c>
      <c r="T33" s="74"/>
    </row>
    <row r="34" spans="3:20" x14ac:dyDescent="0.2">
      <c r="C34" s="56"/>
      <c r="H34" s="66" t="s">
        <v>235</v>
      </c>
      <c r="I34" s="67"/>
      <c r="J34" s="67"/>
      <c r="K34" s="71"/>
      <c r="L34" s="71"/>
      <c r="M34" s="71"/>
      <c r="N34" s="74"/>
      <c r="O34" s="74"/>
      <c r="P34" s="74"/>
      <c r="Q34" s="74"/>
      <c r="R34" s="52" t="str">
        <f t="shared" si="2"/>
        <v/>
      </c>
      <c r="S34" s="52" t="str">
        <f t="shared" si="3"/>
        <v/>
      </c>
      <c r="T34" s="74"/>
    </row>
    <row r="35" spans="3:20" x14ac:dyDescent="0.2">
      <c r="C35" s="56"/>
      <c r="H35" s="66" t="s">
        <v>236</v>
      </c>
      <c r="I35" s="67"/>
      <c r="J35" s="67"/>
      <c r="K35" s="71"/>
      <c r="L35" s="71"/>
      <c r="M35" s="71"/>
      <c r="N35" s="74"/>
      <c r="O35" s="74"/>
      <c r="P35" s="74"/>
      <c r="Q35" s="74"/>
      <c r="R35" s="52" t="str">
        <f t="shared" si="2"/>
        <v/>
      </c>
      <c r="S35" s="52" t="str">
        <f t="shared" si="3"/>
        <v/>
      </c>
      <c r="T35" s="74"/>
    </row>
    <row r="36" spans="3:20" x14ac:dyDescent="0.2">
      <c r="C36" s="56"/>
      <c r="H36" s="66" t="s">
        <v>67</v>
      </c>
      <c r="I36" s="67"/>
      <c r="J36" s="67"/>
      <c r="K36" s="71"/>
      <c r="L36" s="71"/>
      <c r="M36" s="71"/>
      <c r="N36" s="74"/>
      <c r="O36" s="74"/>
      <c r="P36" s="74"/>
      <c r="Q36" s="74"/>
      <c r="R36" s="52" t="str">
        <f t="shared" si="2"/>
        <v/>
      </c>
      <c r="S36" s="52" t="str">
        <f t="shared" si="3"/>
        <v/>
      </c>
      <c r="T36" s="74"/>
    </row>
    <row r="37" spans="3:20" x14ac:dyDescent="0.2">
      <c r="C37" s="56"/>
      <c r="H37" s="66" t="s">
        <v>237</v>
      </c>
      <c r="I37" s="67"/>
      <c r="J37" s="67"/>
      <c r="K37" s="71"/>
      <c r="L37" s="71"/>
      <c r="M37" s="71"/>
      <c r="N37" s="74"/>
      <c r="O37" s="74"/>
      <c r="P37" s="74"/>
      <c r="Q37" s="74"/>
      <c r="R37" s="52" t="str">
        <f t="shared" si="2"/>
        <v/>
      </c>
      <c r="S37" s="52" t="str">
        <f t="shared" si="3"/>
        <v/>
      </c>
      <c r="T37" s="74"/>
    </row>
    <row r="38" spans="3:20" x14ac:dyDescent="0.2">
      <c r="C38" s="56"/>
      <c r="H38" s="66" t="s">
        <v>238</v>
      </c>
      <c r="I38" s="67"/>
      <c r="J38" s="67"/>
      <c r="K38" s="71"/>
      <c r="L38" s="71"/>
      <c r="M38" s="71"/>
      <c r="N38" s="74"/>
      <c r="O38" s="74"/>
      <c r="P38" s="74"/>
      <c r="Q38" s="74"/>
      <c r="R38" s="52" t="str">
        <f t="shared" si="2"/>
        <v/>
      </c>
      <c r="S38" s="52" t="str">
        <f t="shared" si="3"/>
        <v/>
      </c>
      <c r="T38" s="74"/>
    </row>
    <row r="39" spans="3:20" x14ac:dyDescent="0.2">
      <c r="C39" s="56"/>
      <c r="H39" s="66" t="s">
        <v>239</v>
      </c>
      <c r="I39" s="67"/>
      <c r="J39" s="67"/>
      <c r="K39" s="71"/>
      <c r="L39" s="71"/>
      <c r="M39" s="71"/>
      <c r="N39" s="74"/>
      <c r="O39" s="74"/>
      <c r="P39" s="74"/>
      <c r="Q39" s="74"/>
      <c r="R39" s="52" t="str">
        <f t="shared" si="2"/>
        <v/>
      </c>
      <c r="S39" s="52" t="str">
        <f t="shared" si="3"/>
        <v/>
      </c>
      <c r="T39" s="74"/>
    </row>
    <row r="40" spans="3:20" x14ac:dyDescent="0.2">
      <c r="C40" s="56"/>
      <c r="H40" s="66" t="s">
        <v>240</v>
      </c>
      <c r="I40" s="67"/>
      <c r="J40" s="67"/>
      <c r="K40" s="71"/>
      <c r="L40" s="71"/>
      <c r="M40" s="71"/>
      <c r="N40" s="74"/>
      <c r="O40" s="74"/>
      <c r="P40" s="74"/>
      <c r="Q40" s="74"/>
      <c r="R40" s="52" t="str">
        <f t="shared" si="2"/>
        <v/>
      </c>
      <c r="S40" s="52" t="str">
        <f t="shared" si="3"/>
        <v/>
      </c>
      <c r="T40" s="74"/>
    </row>
    <row r="41" spans="3:20" x14ac:dyDescent="0.2">
      <c r="C41" s="56"/>
      <c r="H41" s="66" t="s">
        <v>241</v>
      </c>
      <c r="I41" s="67"/>
      <c r="J41" s="67"/>
      <c r="K41" s="71"/>
      <c r="L41" s="71"/>
      <c r="M41" s="71"/>
      <c r="N41" s="74"/>
      <c r="O41" s="74"/>
      <c r="P41" s="74"/>
      <c r="Q41" s="74"/>
      <c r="R41" s="52" t="str">
        <f t="shared" si="2"/>
        <v/>
      </c>
      <c r="S41" s="52" t="str">
        <f t="shared" si="3"/>
        <v/>
      </c>
      <c r="T41" s="74"/>
    </row>
    <row r="42" spans="3:20" x14ac:dyDescent="0.2">
      <c r="C42" s="56"/>
      <c r="H42" s="66" t="s">
        <v>242</v>
      </c>
      <c r="I42" s="67"/>
      <c r="J42" s="67"/>
      <c r="K42" s="71"/>
      <c r="L42" s="71"/>
      <c r="M42" s="71"/>
      <c r="N42" s="74"/>
      <c r="O42" s="74"/>
      <c r="P42" s="74"/>
      <c r="Q42" s="74"/>
      <c r="R42" s="52" t="str">
        <f t="shared" si="2"/>
        <v/>
      </c>
      <c r="S42" s="52" t="str">
        <f t="shared" si="3"/>
        <v/>
      </c>
      <c r="T42" s="74"/>
    </row>
    <row r="43" spans="3:20" x14ac:dyDescent="0.2">
      <c r="C43" s="56"/>
      <c r="H43" s="66" t="s">
        <v>243</v>
      </c>
      <c r="I43" s="67"/>
      <c r="J43" s="67"/>
      <c r="K43" s="71"/>
      <c r="L43" s="71"/>
      <c r="M43" s="71"/>
      <c r="N43" s="74"/>
      <c r="O43" s="74"/>
      <c r="P43" s="74"/>
      <c r="Q43" s="74"/>
      <c r="R43" s="52" t="str">
        <f t="shared" si="2"/>
        <v/>
      </c>
      <c r="S43" s="52" t="str">
        <f t="shared" si="3"/>
        <v/>
      </c>
      <c r="T43" s="74"/>
    </row>
    <row r="44" spans="3:20" x14ac:dyDescent="0.2">
      <c r="C44" s="56"/>
      <c r="H44" s="66" t="s">
        <v>244</v>
      </c>
      <c r="I44" s="67"/>
      <c r="J44" s="67"/>
      <c r="K44" s="71"/>
      <c r="L44" s="71"/>
      <c r="M44" s="71"/>
      <c r="N44" s="74"/>
      <c r="O44" s="74"/>
      <c r="P44" s="74"/>
      <c r="Q44" s="74"/>
      <c r="R44" s="74"/>
      <c r="S44" s="74"/>
      <c r="T44" s="74"/>
    </row>
    <row r="45" spans="3:20" x14ac:dyDescent="0.2">
      <c r="C45" s="56"/>
      <c r="H45" s="66" t="s">
        <v>245</v>
      </c>
      <c r="I45" s="67"/>
      <c r="J45" s="67"/>
      <c r="K45" s="71"/>
      <c r="L45" s="71"/>
      <c r="M45" s="71"/>
      <c r="N45" s="74"/>
      <c r="O45" s="74"/>
      <c r="P45" s="74"/>
      <c r="Q45" s="74"/>
      <c r="R45" s="74"/>
      <c r="S45" s="74"/>
      <c r="T45" s="74"/>
    </row>
    <row r="46" spans="3:20" x14ac:dyDescent="0.2">
      <c r="C46" s="56"/>
      <c r="H46" s="66" t="s">
        <v>246</v>
      </c>
      <c r="I46" s="67"/>
      <c r="J46" s="67"/>
      <c r="K46" s="71"/>
      <c r="L46" s="71"/>
      <c r="M46" s="71"/>
      <c r="N46" s="74"/>
      <c r="O46" s="74"/>
      <c r="P46" s="74"/>
      <c r="Q46" s="74"/>
      <c r="R46" s="74"/>
      <c r="S46" s="74"/>
      <c r="T46" s="74"/>
    </row>
    <row r="47" spans="3:20" x14ac:dyDescent="0.2">
      <c r="C47" s="56"/>
      <c r="H47" s="66" t="s">
        <v>247</v>
      </c>
      <c r="I47" s="67"/>
      <c r="J47" s="67"/>
      <c r="K47" s="71"/>
      <c r="L47" s="71"/>
      <c r="M47" s="71"/>
      <c r="N47" s="74"/>
      <c r="O47" s="74"/>
      <c r="P47" s="74"/>
      <c r="Q47" s="74"/>
      <c r="R47" s="74"/>
      <c r="S47" s="74"/>
      <c r="T47" s="74"/>
    </row>
    <row r="48" spans="3:20" x14ac:dyDescent="0.2">
      <c r="C48" s="56"/>
      <c r="H48" s="66" t="s">
        <v>248</v>
      </c>
      <c r="I48" s="67" t="s">
        <v>284</v>
      </c>
      <c r="J48" s="67" t="s">
        <v>284</v>
      </c>
      <c r="K48" s="71"/>
      <c r="L48" s="71"/>
      <c r="M48" s="71"/>
      <c r="N48" s="74"/>
      <c r="O48" s="74"/>
      <c r="P48" s="74"/>
      <c r="Q48" s="74"/>
      <c r="R48" s="74"/>
      <c r="S48" s="74"/>
      <c r="T48" s="74"/>
    </row>
    <row r="49" spans="3:20" x14ac:dyDescent="0.2">
      <c r="C49" s="56"/>
      <c r="H49" s="66" t="s">
        <v>249</v>
      </c>
      <c r="I49" s="67" t="s">
        <v>284</v>
      </c>
      <c r="J49" s="67" t="s">
        <v>284</v>
      </c>
      <c r="K49" s="71"/>
      <c r="L49" s="71"/>
      <c r="M49" s="71"/>
      <c r="N49" s="74"/>
      <c r="O49" s="74"/>
      <c r="P49" s="74"/>
      <c r="Q49" s="74"/>
      <c r="R49" s="74"/>
      <c r="S49" s="74"/>
      <c r="T49" s="74"/>
    </row>
    <row r="50" spans="3:20" x14ac:dyDescent="0.2">
      <c r="C50" s="56"/>
      <c r="H50" s="66" t="s">
        <v>250</v>
      </c>
      <c r="I50" s="67" t="s">
        <v>284</v>
      </c>
      <c r="J50" s="67" t="s">
        <v>284</v>
      </c>
      <c r="K50" s="71"/>
      <c r="L50" s="71"/>
      <c r="M50" s="71"/>
      <c r="N50" s="74"/>
      <c r="O50" s="74"/>
      <c r="P50" s="74"/>
      <c r="Q50" s="74"/>
      <c r="R50" s="74"/>
      <c r="S50" s="74"/>
      <c r="T50" s="74"/>
    </row>
    <row r="51" spans="3:20" x14ac:dyDescent="0.2">
      <c r="C51" s="56"/>
      <c r="H51" s="66" t="s">
        <v>251</v>
      </c>
      <c r="I51" s="67" t="s">
        <v>284</v>
      </c>
      <c r="J51" s="67" t="s">
        <v>284</v>
      </c>
      <c r="K51" s="71"/>
      <c r="L51" s="71"/>
      <c r="M51" s="71"/>
      <c r="N51" s="74"/>
      <c r="O51" s="74"/>
      <c r="P51" s="74"/>
      <c r="Q51" s="74"/>
      <c r="R51" s="74"/>
      <c r="S51" s="74"/>
      <c r="T51" s="74"/>
    </row>
    <row r="52" spans="3:20" x14ac:dyDescent="0.2">
      <c r="C52" s="56"/>
      <c r="H52" s="66" t="s">
        <v>252</v>
      </c>
      <c r="I52" s="67" t="s">
        <v>284</v>
      </c>
      <c r="J52" s="67" t="s">
        <v>284</v>
      </c>
      <c r="K52" s="71"/>
      <c r="L52" s="71"/>
      <c r="M52" s="71"/>
      <c r="N52" s="74"/>
      <c r="O52" s="74"/>
      <c r="P52" s="74"/>
      <c r="Q52" s="74"/>
      <c r="R52" s="74"/>
      <c r="S52" s="74"/>
      <c r="T52" s="74"/>
    </row>
    <row r="53" spans="3:20" x14ac:dyDescent="0.2">
      <c r="C53" s="56"/>
      <c r="H53" s="66" t="s">
        <v>253</v>
      </c>
      <c r="I53" s="67" t="s">
        <v>284</v>
      </c>
      <c r="J53" s="67" t="s">
        <v>284</v>
      </c>
      <c r="K53" s="71"/>
      <c r="L53" s="71"/>
      <c r="M53" s="71"/>
      <c r="N53" s="74"/>
      <c r="O53" s="74"/>
      <c r="P53" s="74"/>
      <c r="Q53" s="74"/>
      <c r="R53" s="74"/>
      <c r="S53" s="74"/>
      <c r="T53" s="74"/>
    </row>
    <row r="54" spans="3:20" x14ac:dyDescent="0.2">
      <c r="C54" s="56"/>
      <c r="H54" s="66" t="s">
        <v>254</v>
      </c>
      <c r="I54" s="67" t="s">
        <v>284</v>
      </c>
      <c r="J54" s="67" t="s">
        <v>284</v>
      </c>
      <c r="K54" s="71"/>
      <c r="L54" s="71"/>
      <c r="M54" s="71"/>
      <c r="N54" s="74"/>
      <c r="O54" s="74"/>
      <c r="P54" s="74"/>
      <c r="Q54" s="74"/>
      <c r="R54" s="74"/>
      <c r="S54" s="74"/>
      <c r="T54" s="74"/>
    </row>
    <row r="55" spans="3:20" x14ac:dyDescent="0.2">
      <c r="H55" s="66" t="s">
        <v>255</v>
      </c>
      <c r="I55" s="67" t="s">
        <v>284</v>
      </c>
      <c r="J55" s="67" t="s">
        <v>284</v>
      </c>
      <c r="K55" s="71"/>
      <c r="L55" s="71"/>
      <c r="M55" s="71"/>
      <c r="N55" s="74"/>
      <c r="O55" s="74"/>
      <c r="P55" s="74"/>
      <c r="Q55" s="74"/>
      <c r="R55" s="74"/>
      <c r="S55" s="74"/>
      <c r="T55" s="74"/>
    </row>
    <row r="56" spans="3:20" x14ac:dyDescent="0.2">
      <c r="H56" s="66" t="s">
        <v>256</v>
      </c>
      <c r="I56" s="67" t="s">
        <v>284</v>
      </c>
      <c r="J56" s="67" t="s">
        <v>284</v>
      </c>
      <c r="K56" s="71"/>
      <c r="L56" s="71"/>
      <c r="M56" s="71"/>
      <c r="N56" s="74"/>
      <c r="O56" s="74"/>
      <c r="P56" s="74"/>
      <c r="Q56" s="74"/>
      <c r="R56" s="74"/>
      <c r="S56" s="74"/>
      <c r="T56" s="74"/>
    </row>
    <row r="57" spans="3:20" x14ac:dyDescent="0.2">
      <c r="H57" s="66" t="s">
        <v>257</v>
      </c>
      <c r="I57" s="67" t="s">
        <v>284</v>
      </c>
      <c r="J57" s="67" t="s">
        <v>284</v>
      </c>
      <c r="K57" s="71"/>
      <c r="L57" s="71"/>
      <c r="M57" s="71"/>
      <c r="N57" s="74"/>
      <c r="O57" s="74"/>
      <c r="P57" s="74"/>
      <c r="Q57" s="74"/>
      <c r="R57" s="74"/>
      <c r="S57" s="74"/>
      <c r="T57" s="74"/>
    </row>
    <row r="58" spans="3:20" x14ac:dyDescent="0.2">
      <c r="H58" s="66" t="s">
        <v>258</v>
      </c>
      <c r="I58" s="67" t="s">
        <v>284</v>
      </c>
      <c r="J58" s="67" t="s">
        <v>284</v>
      </c>
      <c r="K58" s="71"/>
      <c r="L58" s="71"/>
      <c r="M58" s="71"/>
      <c r="N58" s="74"/>
      <c r="O58" s="74"/>
      <c r="P58" s="74"/>
      <c r="Q58" s="74"/>
      <c r="R58" s="74"/>
      <c r="S58" s="74"/>
      <c r="T58" s="74"/>
    </row>
    <row r="59" spans="3:20" x14ac:dyDescent="0.2">
      <c r="H59" s="66" t="s">
        <v>259</v>
      </c>
      <c r="I59" s="67" t="s">
        <v>284</v>
      </c>
      <c r="J59" s="67" t="s">
        <v>284</v>
      </c>
      <c r="K59" s="71"/>
      <c r="L59" s="71"/>
      <c r="M59" s="71"/>
      <c r="N59" s="74"/>
      <c r="O59" s="74"/>
      <c r="P59" s="74"/>
      <c r="Q59" s="74"/>
      <c r="R59" s="74"/>
      <c r="S59" s="74"/>
      <c r="T59" s="74"/>
    </row>
    <row r="60" spans="3:20" x14ac:dyDescent="0.2">
      <c r="H60" s="66" t="s">
        <v>260</v>
      </c>
      <c r="I60" s="67" t="s">
        <v>284</v>
      </c>
      <c r="J60" s="67" t="s">
        <v>284</v>
      </c>
      <c r="K60" s="71"/>
      <c r="L60" s="71"/>
      <c r="M60" s="71"/>
      <c r="N60" s="74"/>
      <c r="O60" s="74"/>
      <c r="P60" s="74"/>
      <c r="Q60" s="74"/>
      <c r="R60" s="74"/>
      <c r="S60" s="74"/>
      <c r="T60" s="74"/>
    </row>
    <row r="61" spans="3:20" x14ac:dyDescent="0.2">
      <c r="H61" s="66" t="s">
        <v>261</v>
      </c>
      <c r="I61" s="67" t="s">
        <v>284</v>
      </c>
      <c r="J61" s="67" t="s">
        <v>284</v>
      </c>
      <c r="K61" s="71"/>
      <c r="L61" s="71"/>
      <c r="M61" s="71"/>
      <c r="N61" s="74"/>
      <c r="O61" s="74"/>
      <c r="P61" s="74"/>
      <c r="Q61" s="74"/>
      <c r="R61" s="74"/>
      <c r="S61" s="74"/>
      <c r="T61" s="74"/>
    </row>
    <row r="62" spans="3:20" x14ac:dyDescent="0.2">
      <c r="H62" s="66" t="s">
        <v>262</v>
      </c>
      <c r="I62" s="67" t="s">
        <v>284</v>
      </c>
      <c r="J62" s="67" t="s">
        <v>284</v>
      </c>
      <c r="K62" s="71"/>
      <c r="L62" s="71"/>
      <c r="M62" s="71"/>
      <c r="N62" s="74"/>
      <c r="O62" s="74"/>
      <c r="P62" s="74"/>
      <c r="Q62" s="74"/>
      <c r="R62" s="74"/>
      <c r="S62" s="74"/>
      <c r="T62" s="74"/>
    </row>
    <row r="63" spans="3:20" x14ac:dyDescent="0.2">
      <c r="H63" s="66" t="s">
        <v>263</v>
      </c>
      <c r="I63" s="67" t="s">
        <v>284</v>
      </c>
      <c r="J63" s="67" t="s">
        <v>284</v>
      </c>
      <c r="K63" s="71"/>
      <c r="L63" s="71"/>
      <c r="M63" s="71"/>
      <c r="N63" s="74"/>
      <c r="O63" s="74"/>
      <c r="P63" s="74"/>
      <c r="Q63" s="74"/>
      <c r="R63" s="74"/>
      <c r="S63" s="74"/>
      <c r="T63" s="74"/>
    </row>
    <row r="64" spans="3:20" x14ac:dyDescent="0.2">
      <c r="H64" s="66" t="s">
        <v>264</v>
      </c>
      <c r="I64" s="67" t="s">
        <v>284</v>
      </c>
      <c r="J64" s="67" t="s">
        <v>284</v>
      </c>
      <c r="K64" s="71"/>
      <c r="L64" s="71"/>
      <c r="M64" s="71"/>
      <c r="N64" s="74"/>
      <c r="O64" s="74"/>
      <c r="P64" s="74"/>
      <c r="Q64" s="74"/>
      <c r="R64" s="74"/>
      <c r="S64" s="74"/>
      <c r="T64" s="74"/>
    </row>
    <row r="65" spans="8:20" x14ac:dyDescent="0.2">
      <c r="H65" s="66" t="s">
        <v>265</v>
      </c>
      <c r="I65" s="67" t="s">
        <v>284</v>
      </c>
      <c r="J65" s="67" t="s">
        <v>284</v>
      </c>
      <c r="K65" s="71"/>
      <c r="L65" s="71"/>
      <c r="M65" s="71"/>
      <c r="N65" s="74"/>
      <c r="O65" s="74"/>
      <c r="P65" s="74"/>
      <c r="Q65" s="74"/>
      <c r="R65" s="74"/>
      <c r="S65" s="74"/>
      <c r="T65" s="74"/>
    </row>
    <row r="66" spans="8:20" x14ac:dyDescent="0.2">
      <c r="H66" s="66" t="s">
        <v>266</v>
      </c>
      <c r="I66" s="67" t="s">
        <v>284</v>
      </c>
      <c r="J66" s="67" t="s">
        <v>284</v>
      </c>
      <c r="K66" s="71"/>
      <c r="L66" s="71"/>
      <c r="M66" s="71"/>
      <c r="N66" s="74"/>
      <c r="O66" s="74"/>
      <c r="P66" s="74"/>
      <c r="Q66" s="74"/>
      <c r="R66" s="74"/>
      <c r="S66" s="74"/>
      <c r="T66" s="74"/>
    </row>
    <row r="67" spans="8:20" x14ac:dyDescent="0.2">
      <c r="H67" s="66" t="s">
        <v>267</v>
      </c>
      <c r="I67" s="67" t="s">
        <v>284</v>
      </c>
      <c r="J67" s="67" t="s">
        <v>284</v>
      </c>
      <c r="K67" s="71"/>
      <c r="L67" s="71"/>
      <c r="M67" s="71"/>
      <c r="N67" s="74"/>
      <c r="O67" s="74"/>
      <c r="P67" s="74"/>
      <c r="Q67" s="74"/>
      <c r="R67" s="74"/>
      <c r="S67" s="74"/>
      <c r="T67" s="74"/>
    </row>
    <row r="68" spans="8:20" x14ac:dyDescent="0.2">
      <c r="H68" s="66" t="s">
        <v>268</v>
      </c>
      <c r="I68" s="67" t="s">
        <v>284</v>
      </c>
      <c r="J68" s="67" t="s">
        <v>284</v>
      </c>
      <c r="K68" s="71"/>
      <c r="L68" s="71"/>
      <c r="M68" s="71"/>
      <c r="N68" s="74"/>
      <c r="O68" s="74"/>
      <c r="P68" s="74"/>
      <c r="Q68" s="74"/>
      <c r="R68" s="74"/>
      <c r="S68" s="74"/>
      <c r="T68" s="74"/>
    </row>
    <row r="69" spans="8:20" x14ac:dyDescent="0.2">
      <c r="H69" s="66" t="s">
        <v>269</v>
      </c>
      <c r="I69" s="67" t="s">
        <v>284</v>
      </c>
      <c r="J69" s="67" t="s">
        <v>284</v>
      </c>
      <c r="K69" s="71"/>
      <c r="L69" s="71"/>
      <c r="M69" s="71"/>
    </row>
    <row r="70" spans="8:20" x14ac:dyDescent="0.2">
      <c r="H70" s="66" t="s">
        <v>270</v>
      </c>
      <c r="I70" s="67" t="s">
        <v>284</v>
      </c>
      <c r="J70" s="67" t="s">
        <v>284</v>
      </c>
      <c r="K70" s="71"/>
      <c r="L70" s="71"/>
      <c r="M70" s="71"/>
    </row>
    <row r="71" spans="8:20" x14ac:dyDescent="0.2">
      <c r="H71" s="66" t="s">
        <v>271</v>
      </c>
      <c r="I71" s="67" t="s">
        <v>284</v>
      </c>
      <c r="J71" s="67" t="s">
        <v>284</v>
      </c>
      <c r="K71" s="71"/>
      <c r="L71" s="71"/>
      <c r="M71" s="71"/>
    </row>
    <row r="72" spans="8:20" x14ac:dyDescent="0.2">
      <c r="H72" s="66" t="s">
        <v>272</v>
      </c>
      <c r="I72" s="67" t="s">
        <v>284</v>
      </c>
      <c r="J72" s="67" t="s">
        <v>284</v>
      </c>
      <c r="K72" s="71"/>
      <c r="L72" s="71"/>
      <c r="M72" s="71"/>
    </row>
    <row r="73" spans="8:20" x14ac:dyDescent="0.2">
      <c r="H73" s="66" t="s">
        <v>273</v>
      </c>
      <c r="I73" s="67" t="s">
        <v>284</v>
      </c>
      <c r="J73" s="67" t="s">
        <v>284</v>
      </c>
      <c r="K73" s="71"/>
      <c r="L73" s="71"/>
      <c r="M73" s="71"/>
    </row>
    <row r="74" spans="8:20" x14ac:dyDescent="0.2">
      <c r="H74" s="66" t="s">
        <v>274</v>
      </c>
      <c r="I74" s="67" t="s">
        <v>284</v>
      </c>
      <c r="J74" s="67" t="s">
        <v>284</v>
      </c>
      <c r="K74" s="71"/>
      <c r="L74" s="71"/>
      <c r="M74" s="71"/>
    </row>
    <row r="75" spans="8:20" x14ac:dyDescent="0.2">
      <c r="H75" s="66" t="s">
        <v>275</v>
      </c>
      <c r="I75" s="67" t="s">
        <v>284</v>
      </c>
      <c r="J75" s="67" t="s">
        <v>284</v>
      </c>
      <c r="K75" s="71"/>
      <c r="L75" s="71"/>
      <c r="M75" s="71"/>
    </row>
    <row r="76" spans="8:20" x14ac:dyDescent="0.2">
      <c r="H76" s="66" t="s">
        <v>276</v>
      </c>
      <c r="I76" s="67" t="s">
        <v>284</v>
      </c>
      <c r="J76" s="67" t="s">
        <v>284</v>
      </c>
      <c r="K76" s="71"/>
      <c r="L76" s="71"/>
      <c r="M76" s="71"/>
    </row>
    <row r="77" spans="8:20" x14ac:dyDescent="0.2">
      <c r="H77" s="66" t="s">
        <v>277</v>
      </c>
      <c r="I77" s="67" t="s">
        <v>284</v>
      </c>
      <c r="J77" s="67" t="s">
        <v>284</v>
      </c>
      <c r="K77" s="71"/>
      <c r="L77" s="71"/>
      <c r="M77" s="71"/>
    </row>
    <row r="78" spans="8:20" x14ac:dyDescent="0.2">
      <c r="H78" s="66" t="s">
        <v>278</v>
      </c>
      <c r="I78" s="67" t="s">
        <v>284</v>
      </c>
      <c r="J78" s="67" t="s">
        <v>284</v>
      </c>
      <c r="K78" s="71"/>
      <c r="L78" s="71"/>
      <c r="M78" s="71"/>
    </row>
    <row r="79" spans="8:20" x14ac:dyDescent="0.2">
      <c r="H79" s="66" t="s">
        <v>279</v>
      </c>
      <c r="I79" s="67" t="s">
        <v>284</v>
      </c>
      <c r="J79" s="67" t="s">
        <v>284</v>
      </c>
      <c r="K79" s="71"/>
      <c r="L79" s="71"/>
      <c r="M79" s="71"/>
    </row>
    <row r="80" spans="8:20" x14ac:dyDescent="0.2">
      <c r="H80" s="66" t="s">
        <v>280</v>
      </c>
      <c r="I80" s="71"/>
      <c r="J80" s="67" t="s">
        <v>284</v>
      </c>
      <c r="K80" s="71"/>
      <c r="L80" s="71"/>
      <c r="M80" s="71"/>
    </row>
  </sheetData>
  <mergeCells count="3">
    <mergeCell ref="B2:F2"/>
    <mergeCell ref="O2:P2"/>
    <mergeCell ref="R2:S2"/>
  </mergeCells>
  <phoneticPr fontId="13"/>
  <dataValidations count="3">
    <dataValidation type="list" allowBlank="1" showInputMessage="1" showErrorMessage="1" sqref="E4:E25" xr:uid="{00000000-0002-0000-0700-000000000000}">
      <formula1>CA</formula1>
    </dataValidation>
    <dataValidation type="list" allowBlank="1" showInputMessage="1" showErrorMessage="1" sqref="F6:F25" xr:uid="{00000000-0002-0000-0700-000001000000}">
      <formula1>POS</formula1>
    </dataValidation>
    <dataValidation type="list" imeMode="off" allowBlank="1" showInputMessage="1" showErrorMessage="1" sqref="B4:B27" xr:uid="{00000000-0002-0000-0700-000002000000}">
      <formula1>regB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mandButton1">
          <controlPr autoLine="0" r:id="rId5">
            <anchor moveWithCells="1">
              <from>
                <xdr:col>7</xdr:col>
                <xdr:colOff>30480</xdr:colOff>
                <xdr:row>1</xdr:row>
                <xdr:rowOff>297180</xdr:rowOff>
              </from>
              <to>
                <xdr:col>9</xdr:col>
                <xdr:colOff>822960</xdr:colOff>
                <xdr:row>1</xdr:row>
                <xdr:rowOff>601980</xdr:rowOff>
              </to>
            </anchor>
          </controlPr>
        </control>
      </mc:Choice>
      <mc:Fallback>
        <control shapeId="1037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N1418"/>
  <sheetViews>
    <sheetView topLeftCell="E1" workbookViewId="0">
      <selection activeCell="Q22" sqref="Q22:Q26"/>
    </sheetView>
  </sheetViews>
  <sheetFormatPr defaultColWidth="9" defaultRowHeight="13.2" x14ac:dyDescent="0.2"/>
  <cols>
    <col min="1" max="1" width="11.6640625" style="57" bestFit="1" customWidth="1"/>
    <col min="2" max="2" width="7.88671875" style="57" customWidth="1"/>
    <col min="3" max="3" width="30.109375" style="43" bestFit="1" customWidth="1"/>
    <col min="4" max="4" width="5.44140625" style="43" customWidth="1"/>
    <col min="5" max="5" width="9" style="43"/>
    <col min="6" max="6" width="7.33203125" style="43" customWidth="1"/>
    <col min="7" max="7" width="7" style="43" customWidth="1"/>
    <col min="8" max="8" width="6.88671875" style="43" customWidth="1"/>
    <col min="9" max="9" width="6.6640625" style="43" customWidth="1"/>
    <col min="10" max="10" width="9" style="44"/>
    <col min="11" max="11" width="7.109375" style="43" customWidth="1"/>
    <col min="12" max="12" width="43.6640625" customWidth="1"/>
    <col min="13" max="14" width="5.88671875" style="43" customWidth="1"/>
    <col min="15" max="15" width="28.6640625" customWidth="1"/>
    <col min="16" max="16" width="10.109375" bestFit="1" customWidth="1"/>
    <col min="17" max="17" width="10.44140625" style="55" customWidth="1"/>
    <col min="18" max="19" width="4.109375" style="55" customWidth="1"/>
    <col min="20" max="20" width="16.88671875" style="122" bestFit="1" customWidth="1"/>
    <col min="21" max="21" width="12.6640625" style="43" bestFit="1" customWidth="1"/>
    <col min="22" max="22" width="9" style="43"/>
    <col min="23" max="34" width="2.88671875" style="43" customWidth="1"/>
    <col min="35" max="16384" width="9" style="43"/>
  </cols>
  <sheetData>
    <row r="1" spans="1:40" ht="15" customHeight="1" thickBot="1" x14ac:dyDescent="0.25">
      <c r="A1" s="39" t="s">
        <v>285</v>
      </c>
      <c r="B1" s="39" t="s">
        <v>286</v>
      </c>
      <c r="C1" s="40" t="s">
        <v>287</v>
      </c>
      <c r="D1" s="40" t="s">
        <v>288</v>
      </c>
      <c r="E1" s="40" t="s">
        <v>289</v>
      </c>
      <c r="F1" s="40" t="s">
        <v>210</v>
      </c>
      <c r="G1" s="40"/>
      <c r="H1" s="40" t="s">
        <v>13</v>
      </c>
      <c r="I1" s="40" t="s">
        <v>290</v>
      </c>
      <c r="J1" s="41" t="s">
        <v>291</v>
      </c>
      <c r="K1" s="40" t="s">
        <v>292</v>
      </c>
      <c r="L1" s="124" t="s">
        <v>293</v>
      </c>
      <c r="M1" s="40" t="s">
        <v>294</v>
      </c>
      <c r="N1" s="40" t="s">
        <v>295</v>
      </c>
      <c r="O1" s="327" t="s">
        <v>296</v>
      </c>
      <c r="P1" s="310" t="s">
        <v>297</v>
      </c>
      <c r="Q1" s="42" t="s">
        <v>298</v>
      </c>
      <c r="R1" s="42" t="s">
        <v>299</v>
      </c>
      <c r="S1" s="42" t="s">
        <v>300</v>
      </c>
      <c r="T1" s="311" t="s">
        <v>301</v>
      </c>
      <c r="U1" s="328" t="s">
        <v>302</v>
      </c>
      <c r="W1" s="1015"/>
      <c r="X1" s="1016"/>
      <c r="Y1" s="1016"/>
      <c r="Z1" s="1016"/>
      <c r="AA1" s="1016"/>
      <c r="AB1" s="1017"/>
      <c r="AC1" s="1017"/>
      <c r="AD1" s="1017"/>
      <c r="AE1" s="1017"/>
      <c r="AF1" s="1017"/>
      <c r="AG1" s="1017"/>
      <c r="AH1" s="1018"/>
      <c r="AJ1" s="43" t="s">
        <v>303</v>
      </c>
    </row>
    <row r="2" spans="1:40" ht="15" customHeight="1" thickBot="1" x14ac:dyDescent="0.2">
      <c r="A2" s="383"/>
      <c r="H2" s="44"/>
      <c r="J2" s="44" t="s">
        <v>304</v>
      </c>
      <c r="L2" s="320" t="s">
        <v>305</v>
      </c>
      <c r="M2" s="45">
        <v>3</v>
      </c>
      <c r="N2" s="45">
        <v>25</v>
      </c>
      <c r="O2" s="336" t="s">
        <v>306</v>
      </c>
      <c r="P2" s="323"/>
      <c r="W2" s="75"/>
      <c r="X2" s="1019"/>
      <c r="Y2" s="1020"/>
      <c r="Z2" s="1020"/>
      <c r="AA2" s="1020"/>
      <c r="AB2" s="1020"/>
      <c r="AC2" s="1020"/>
      <c r="AD2" s="1021"/>
      <c r="AE2" s="1021"/>
      <c r="AF2" s="1022"/>
      <c r="AG2" s="1023"/>
      <c r="AH2" s="77"/>
      <c r="AJ2" s="46" t="s">
        <v>307</v>
      </c>
      <c r="AK2" s="47"/>
      <c r="AL2" s="55" t="s">
        <v>308</v>
      </c>
      <c r="AM2" s="55" t="s">
        <v>309</v>
      </c>
      <c r="AN2" s="55" t="s">
        <v>310</v>
      </c>
    </row>
    <row r="3" spans="1:40" ht="15" customHeight="1" x14ac:dyDescent="0.2">
      <c r="A3" s="318">
        <v>45261</v>
      </c>
      <c r="B3" s="319" t="s">
        <v>311</v>
      </c>
      <c r="C3" s="43" t="s">
        <v>312</v>
      </c>
      <c r="D3" s="43" t="s">
        <v>313</v>
      </c>
      <c r="E3" s="48" t="s">
        <v>314</v>
      </c>
      <c r="F3" s="48" t="s">
        <v>9</v>
      </c>
      <c r="G3" s="45"/>
      <c r="H3" s="49" t="s">
        <v>37</v>
      </c>
      <c r="I3" s="43" t="s">
        <v>35</v>
      </c>
      <c r="J3" s="44" t="s">
        <v>315</v>
      </c>
      <c r="K3" s="43" t="s">
        <v>9</v>
      </c>
      <c r="L3" s="320" t="s">
        <v>316</v>
      </c>
      <c r="M3" s="45">
        <v>27</v>
      </c>
      <c r="N3" s="45">
        <v>45</v>
      </c>
      <c r="O3" s="337" t="s">
        <v>317</v>
      </c>
      <c r="P3" s="323" t="s">
        <v>216</v>
      </c>
      <c r="T3" s="331" t="s">
        <v>318</v>
      </c>
      <c r="U3" s="322" t="s">
        <v>319</v>
      </c>
      <c r="W3" s="79"/>
      <c r="X3" s="1013"/>
      <c r="Y3" s="1014"/>
      <c r="Z3" s="1014"/>
      <c r="AA3" s="1014"/>
      <c r="AB3" s="1014"/>
      <c r="AC3" s="1014"/>
      <c r="AD3" s="1014"/>
      <c r="AE3" s="1014"/>
      <c r="AF3" s="999"/>
      <c r="AG3" s="1000"/>
      <c r="AH3" s="80"/>
      <c r="AJ3" s="46"/>
      <c r="AK3" s="47"/>
      <c r="AL3" s="55"/>
      <c r="AM3" s="55"/>
      <c r="AN3" s="55"/>
    </row>
    <row r="4" spans="1:40" ht="15" customHeight="1" x14ac:dyDescent="0.2">
      <c r="A4" s="318">
        <v>45261</v>
      </c>
      <c r="B4" s="319" t="s">
        <v>320</v>
      </c>
      <c r="C4" s="43" t="s">
        <v>94</v>
      </c>
      <c r="D4" s="43" t="s">
        <v>321</v>
      </c>
      <c r="E4" s="49" t="s">
        <v>322</v>
      </c>
      <c r="F4" s="49" t="s">
        <v>35</v>
      </c>
      <c r="H4" s="49" t="s">
        <v>323</v>
      </c>
      <c r="I4" s="43" t="s">
        <v>292</v>
      </c>
      <c r="J4" s="44" t="s">
        <v>324</v>
      </c>
      <c r="K4" s="43" t="s">
        <v>325</v>
      </c>
      <c r="L4" s="320" t="s">
        <v>326</v>
      </c>
      <c r="M4" s="45">
        <v>47</v>
      </c>
      <c r="N4" s="45">
        <v>63</v>
      </c>
      <c r="O4" s="338" t="s">
        <v>327</v>
      </c>
      <c r="P4" s="323" t="s">
        <v>216</v>
      </c>
      <c r="T4" s="120" t="s">
        <v>328</v>
      </c>
      <c r="U4" s="322" t="s">
        <v>329</v>
      </c>
      <c r="W4" s="81"/>
      <c r="X4" s="1024"/>
      <c r="Y4" s="1025"/>
      <c r="Z4" s="1025"/>
      <c r="AA4" s="1025"/>
      <c r="AB4" s="1025"/>
      <c r="AC4" s="1025"/>
      <c r="AD4" s="1025"/>
      <c r="AE4" s="1025"/>
      <c r="AF4" s="1003"/>
      <c r="AG4" s="1004"/>
      <c r="AH4" s="82"/>
      <c r="AJ4" s="46"/>
      <c r="AK4" s="47"/>
      <c r="AL4" s="55"/>
      <c r="AM4" s="55"/>
      <c r="AN4" s="383"/>
    </row>
    <row r="5" spans="1:40" ht="15" customHeight="1" x14ac:dyDescent="0.15">
      <c r="A5" s="318">
        <v>45261</v>
      </c>
      <c r="B5" s="319" t="s">
        <v>330</v>
      </c>
      <c r="C5" s="43" t="s">
        <v>331</v>
      </c>
      <c r="D5" s="43" t="s">
        <v>332</v>
      </c>
      <c r="E5" s="43" t="s">
        <v>333</v>
      </c>
      <c r="F5" s="49" t="s">
        <v>334</v>
      </c>
      <c r="H5" s="49" t="s">
        <v>335</v>
      </c>
      <c r="I5" s="43" t="s">
        <v>39</v>
      </c>
      <c r="J5" s="44" t="s">
        <v>336</v>
      </c>
      <c r="K5" s="43" t="s">
        <v>35</v>
      </c>
      <c r="L5" s="320" t="s">
        <v>337</v>
      </c>
      <c r="M5" s="45">
        <v>65</v>
      </c>
      <c r="N5" s="45">
        <v>86</v>
      </c>
      <c r="O5" s="338" t="s">
        <v>338</v>
      </c>
      <c r="P5" s="323" t="s">
        <v>216</v>
      </c>
      <c r="T5" s="120" t="s">
        <v>339</v>
      </c>
      <c r="U5" s="386"/>
      <c r="W5" s="83"/>
      <c r="X5" s="1009"/>
      <c r="Y5" s="1010"/>
      <c r="Z5" s="1010"/>
      <c r="AA5" s="1010"/>
      <c r="AB5" s="1010"/>
      <c r="AC5" s="1010"/>
      <c r="AD5" s="1010"/>
      <c r="AE5" s="1010"/>
      <c r="AF5" s="1011"/>
      <c r="AG5" s="1012"/>
      <c r="AH5" s="84"/>
      <c r="AJ5" s="46"/>
      <c r="AK5" s="47"/>
      <c r="AL5" s="55"/>
      <c r="AM5" s="55"/>
      <c r="AN5" s="383"/>
    </row>
    <row r="6" spans="1:40" ht="15" customHeight="1" x14ac:dyDescent="0.15">
      <c r="A6" s="318">
        <v>45261</v>
      </c>
      <c r="B6" s="319" t="s">
        <v>340</v>
      </c>
      <c r="C6" s="50" t="s">
        <v>295</v>
      </c>
      <c r="D6" s="43" t="s">
        <v>341</v>
      </c>
      <c r="E6" s="48" t="s">
        <v>342</v>
      </c>
      <c r="F6" s="49" t="s">
        <v>343</v>
      </c>
      <c r="H6" s="49" t="s">
        <v>344</v>
      </c>
      <c r="I6" s="43" t="s">
        <v>33</v>
      </c>
      <c r="J6" s="44" t="s">
        <v>345</v>
      </c>
      <c r="K6" s="50" t="s">
        <v>295</v>
      </c>
      <c r="L6" s="320" t="s">
        <v>346</v>
      </c>
      <c r="M6" s="45">
        <v>88</v>
      </c>
      <c r="N6" s="45">
        <v>110</v>
      </c>
      <c r="O6" s="338" t="s">
        <v>347</v>
      </c>
      <c r="P6" s="323" t="s">
        <v>216</v>
      </c>
      <c r="S6" s="252"/>
      <c r="T6" s="120" t="s">
        <v>348</v>
      </c>
      <c r="U6" s="386"/>
      <c r="W6" s="79"/>
      <c r="X6" s="1013"/>
      <c r="Y6" s="1014"/>
      <c r="Z6" s="1014"/>
      <c r="AA6" s="1014"/>
      <c r="AB6" s="1014"/>
      <c r="AC6" s="1014"/>
      <c r="AD6" s="1014"/>
      <c r="AE6" s="1014"/>
      <c r="AF6" s="999"/>
      <c r="AG6" s="1000"/>
      <c r="AH6" s="80"/>
      <c r="AJ6" s="46"/>
      <c r="AK6" s="47"/>
      <c r="AL6" s="55"/>
      <c r="AM6" s="55"/>
      <c r="AN6" s="383"/>
    </row>
    <row r="7" spans="1:40" ht="15" customHeight="1" x14ac:dyDescent="0.15">
      <c r="A7" s="318">
        <v>45262</v>
      </c>
      <c r="B7" s="319" t="s">
        <v>349</v>
      </c>
      <c r="D7" s="43" t="s">
        <v>350</v>
      </c>
      <c r="E7" s="49" t="s">
        <v>351</v>
      </c>
      <c r="F7" s="49" t="s">
        <v>35</v>
      </c>
      <c r="H7" s="49" t="s">
        <v>352</v>
      </c>
      <c r="I7" s="43" t="s">
        <v>59</v>
      </c>
      <c r="J7" s="44" t="s">
        <v>353</v>
      </c>
      <c r="L7" s="320" t="s">
        <v>354</v>
      </c>
      <c r="M7" s="45">
        <v>112</v>
      </c>
      <c r="N7" s="45">
        <v>132</v>
      </c>
      <c r="O7" s="339" t="s">
        <v>355</v>
      </c>
      <c r="P7" s="323" t="s">
        <v>219</v>
      </c>
      <c r="T7" s="120" t="s">
        <v>356</v>
      </c>
      <c r="U7" s="386"/>
      <c r="W7" s="79"/>
      <c r="X7" s="1013"/>
      <c r="Y7" s="1014"/>
      <c r="Z7" s="1014"/>
      <c r="AA7" s="1014"/>
      <c r="AB7" s="1014"/>
      <c r="AC7" s="1014"/>
      <c r="AD7" s="1014"/>
      <c r="AE7" s="1014"/>
      <c r="AF7" s="999"/>
      <c r="AG7" s="1000"/>
      <c r="AH7" s="80"/>
      <c r="AJ7" s="46"/>
      <c r="AK7" s="47"/>
      <c r="AL7" s="55"/>
      <c r="AM7" s="55"/>
      <c r="AN7" s="383"/>
    </row>
    <row r="8" spans="1:40" ht="15" customHeight="1" x14ac:dyDescent="0.15">
      <c r="A8" s="318">
        <v>45262</v>
      </c>
      <c r="B8" s="319" t="s">
        <v>357</v>
      </c>
      <c r="D8" s="43" t="s">
        <v>358</v>
      </c>
      <c r="E8" s="50" t="s">
        <v>295</v>
      </c>
      <c r="F8" s="51" t="s">
        <v>295</v>
      </c>
      <c r="H8" s="49" t="s">
        <v>292</v>
      </c>
      <c r="I8" s="43" t="s">
        <v>57</v>
      </c>
      <c r="J8" s="44" t="s">
        <v>359</v>
      </c>
      <c r="L8" s="320" t="s">
        <v>360</v>
      </c>
      <c r="M8" s="45">
        <v>134</v>
      </c>
      <c r="N8" s="45">
        <v>155</v>
      </c>
      <c r="O8" s="339" t="s">
        <v>361</v>
      </c>
      <c r="P8" s="323" t="s">
        <v>219</v>
      </c>
      <c r="T8" s="122" t="s">
        <v>362</v>
      </c>
      <c r="U8" s="320"/>
      <c r="W8" s="79"/>
      <c r="X8" s="1013"/>
      <c r="Y8" s="1014"/>
      <c r="Z8" s="1014"/>
      <c r="AA8" s="1014"/>
      <c r="AB8" s="1014"/>
      <c r="AC8" s="1014"/>
      <c r="AD8" s="1014"/>
      <c r="AE8" s="1014"/>
      <c r="AF8" s="999"/>
      <c r="AG8" s="1000"/>
      <c r="AH8" s="80"/>
      <c r="AJ8" s="46"/>
      <c r="AK8" s="47"/>
      <c r="AL8" s="55"/>
      <c r="AM8" s="55"/>
      <c r="AN8" s="383"/>
    </row>
    <row r="9" spans="1:40" ht="15" customHeight="1" x14ac:dyDescent="0.15">
      <c r="A9" s="318">
        <v>45262</v>
      </c>
      <c r="B9" s="319" t="s">
        <v>363</v>
      </c>
      <c r="D9" s="43" t="s">
        <v>364</v>
      </c>
      <c r="E9" s="48"/>
      <c r="F9" s="49"/>
      <c r="H9" s="49" t="s">
        <v>69</v>
      </c>
      <c r="I9" s="43" t="s">
        <v>42</v>
      </c>
      <c r="J9" s="44" t="s">
        <v>365</v>
      </c>
      <c r="L9" s="320" t="s">
        <v>366</v>
      </c>
      <c r="M9" s="45">
        <v>157</v>
      </c>
      <c r="N9" s="45">
        <v>174</v>
      </c>
      <c r="O9" s="339" t="s">
        <v>367</v>
      </c>
      <c r="P9" s="323" t="s">
        <v>219</v>
      </c>
      <c r="T9" s="120" t="s">
        <v>368</v>
      </c>
      <c r="U9" s="386"/>
      <c r="W9" s="81"/>
      <c r="X9" s="1024"/>
      <c r="Y9" s="1025"/>
      <c r="Z9" s="1025"/>
      <c r="AA9" s="1025"/>
      <c r="AB9" s="1025"/>
      <c r="AC9" s="1025"/>
      <c r="AD9" s="1025"/>
      <c r="AE9" s="1025"/>
      <c r="AF9" s="1003"/>
      <c r="AG9" s="1004"/>
      <c r="AH9" s="82"/>
      <c r="AJ9" s="46"/>
      <c r="AK9" s="47"/>
      <c r="AL9" s="55"/>
      <c r="AM9" s="55"/>
      <c r="AN9" s="383"/>
    </row>
    <row r="10" spans="1:40" ht="15" customHeight="1" x14ac:dyDescent="0.15">
      <c r="A10" s="318">
        <v>45262</v>
      </c>
      <c r="B10" s="319" t="s">
        <v>369</v>
      </c>
      <c r="C10" s="43" t="s">
        <v>370</v>
      </c>
      <c r="D10" s="43" t="s">
        <v>371</v>
      </c>
      <c r="E10" s="48"/>
      <c r="F10" s="48"/>
      <c r="H10" s="50" t="s">
        <v>295</v>
      </c>
      <c r="I10" s="50" t="s">
        <v>295</v>
      </c>
      <c r="J10" s="44" t="s">
        <v>372</v>
      </c>
      <c r="K10" s="52"/>
      <c r="L10" s="320" t="s">
        <v>373</v>
      </c>
      <c r="M10" s="45">
        <v>176</v>
      </c>
      <c r="N10" s="45">
        <v>200</v>
      </c>
      <c r="O10" s="339" t="s">
        <v>374</v>
      </c>
      <c r="P10" s="323" t="s">
        <v>219</v>
      </c>
      <c r="T10" s="120" t="s">
        <v>375</v>
      </c>
      <c r="U10" s="386"/>
      <c r="W10" s="83"/>
      <c r="X10" s="1009"/>
      <c r="Y10" s="1010"/>
      <c r="Z10" s="1010"/>
      <c r="AA10" s="1010"/>
      <c r="AB10" s="1010"/>
      <c r="AC10" s="1010"/>
      <c r="AD10" s="1010"/>
      <c r="AE10" s="1010"/>
      <c r="AF10" s="1011"/>
      <c r="AG10" s="1012"/>
      <c r="AH10" s="84"/>
      <c r="AJ10" s="46"/>
      <c r="AK10" s="47"/>
      <c r="AL10" s="55"/>
      <c r="AM10" s="55"/>
      <c r="AN10" s="383"/>
    </row>
    <row r="11" spans="1:40" ht="15" customHeight="1" x14ac:dyDescent="0.15">
      <c r="A11" s="318">
        <v>45263</v>
      </c>
      <c r="B11" s="319" t="s">
        <v>376</v>
      </c>
      <c r="C11" s="43" t="s">
        <v>377</v>
      </c>
      <c r="D11" s="43" t="s">
        <v>378</v>
      </c>
      <c r="E11" s="48"/>
      <c r="F11" s="48"/>
      <c r="J11" s="44" t="s">
        <v>379</v>
      </c>
      <c r="K11" s="53"/>
      <c r="L11" s="320" t="s">
        <v>380</v>
      </c>
      <c r="M11" s="45">
        <v>202</v>
      </c>
      <c r="N11" s="45">
        <v>224</v>
      </c>
      <c r="O11" s="339" t="s">
        <v>381</v>
      </c>
      <c r="P11" s="323" t="s">
        <v>219</v>
      </c>
      <c r="T11" s="120" t="s">
        <v>382</v>
      </c>
      <c r="U11" s="386"/>
      <c r="W11" s="85"/>
      <c r="X11" s="1013"/>
      <c r="Y11" s="1014"/>
      <c r="Z11" s="1014"/>
      <c r="AA11" s="1014"/>
      <c r="AB11" s="1014"/>
      <c r="AC11" s="1014"/>
      <c r="AD11" s="1014"/>
      <c r="AE11" s="1014"/>
      <c r="AF11" s="1007"/>
      <c r="AG11" s="1008"/>
      <c r="AH11" s="86"/>
      <c r="AJ11" s="46"/>
      <c r="AK11" s="47"/>
      <c r="AL11" s="383"/>
      <c r="AM11" s="383"/>
      <c r="AN11" s="383"/>
    </row>
    <row r="12" spans="1:40" ht="15" customHeight="1" x14ac:dyDescent="0.15">
      <c r="A12" s="318">
        <v>45263</v>
      </c>
      <c r="B12" s="319" t="s">
        <v>383</v>
      </c>
      <c r="D12" s="43" t="s">
        <v>384</v>
      </c>
      <c r="E12" s="48"/>
      <c r="F12" s="48"/>
      <c r="J12" s="44" t="s">
        <v>385</v>
      </c>
      <c r="K12" s="53"/>
      <c r="L12" s="320" t="s">
        <v>386</v>
      </c>
      <c r="M12" s="45">
        <v>226</v>
      </c>
      <c r="N12" s="45">
        <v>247</v>
      </c>
      <c r="O12" s="339" t="s">
        <v>387</v>
      </c>
      <c r="P12" s="323" t="s">
        <v>219</v>
      </c>
      <c r="T12" s="122" t="s">
        <v>388</v>
      </c>
      <c r="U12" s="320"/>
      <c r="W12" s="79"/>
      <c r="X12" s="1013"/>
      <c r="Y12" s="1014"/>
      <c r="Z12" s="1014"/>
      <c r="AA12" s="1014"/>
      <c r="AB12" s="1014"/>
      <c r="AC12" s="1014"/>
      <c r="AD12" s="1014"/>
      <c r="AE12" s="1014"/>
      <c r="AF12" s="999"/>
      <c r="AG12" s="1000"/>
      <c r="AH12" s="80"/>
      <c r="AJ12" s="46"/>
      <c r="AK12" s="47"/>
      <c r="AL12" s="55"/>
      <c r="AM12" s="55"/>
      <c r="AN12" s="383"/>
    </row>
    <row r="13" spans="1:40" ht="15" customHeight="1" x14ac:dyDescent="0.15">
      <c r="A13" s="318"/>
      <c r="B13" s="319" t="s">
        <v>389</v>
      </c>
      <c r="D13" s="43" t="s">
        <v>390</v>
      </c>
      <c r="E13" s="49"/>
      <c r="F13" s="48"/>
      <c r="J13" s="44" t="s">
        <v>391</v>
      </c>
      <c r="K13" s="45"/>
      <c r="L13" s="320" t="s">
        <v>392</v>
      </c>
      <c r="M13" s="45">
        <v>249</v>
      </c>
      <c r="N13" s="45">
        <v>270</v>
      </c>
      <c r="O13" s="339" t="s">
        <v>393</v>
      </c>
      <c r="P13" s="323" t="s">
        <v>219</v>
      </c>
      <c r="S13" s="252"/>
      <c r="T13" s="120" t="s">
        <v>394</v>
      </c>
      <c r="U13" s="320"/>
      <c r="W13" s="79"/>
      <c r="X13" s="1013"/>
      <c r="Y13" s="1014"/>
      <c r="Z13" s="1014"/>
      <c r="AA13" s="1014"/>
      <c r="AB13" s="1014"/>
      <c r="AC13" s="1014"/>
      <c r="AD13" s="1014"/>
      <c r="AE13" s="1014"/>
      <c r="AF13" s="999"/>
      <c r="AG13" s="1000"/>
      <c r="AH13" s="80"/>
      <c r="AJ13" s="46"/>
      <c r="AK13" s="47"/>
      <c r="AL13" s="55"/>
      <c r="AM13" s="55"/>
      <c r="AN13" s="383"/>
    </row>
    <row r="14" spans="1:40" ht="15" customHeight="1" x14ac:dyDescent="0.15">
      <c r="A14" s="324"/>
      <c r="B14" s="319" t="s">
        <v>395</v>
      </c>
      <c r="C14" s="43" t="s">
        <v>396</v>
      </c>
      <c r="D14" s="43" t="s">
        <v>397</v>
      </c>
      <c r="E14" s="49"/>
      <c r="F14" s="49"/>
      <c r="J14" s="44" t="s">
        <v>398</v>
      </c>
      <c r="K14" s="53"/>
      <c r="L14" s="320" t="s">
        <v>399</v>
      </c>
      <c r="M14" s="45">
        <v>272</v>
      </c>
      <c r="N14" s="45">
        <v>289</v>
      </c>
      <c r="O14" s="339" t="s">
        <v>400</v>
      </c>
      <c r="P14" s="323" t="s">
        <v>219</v>
      </c>
      <c r="T14" s="120" t="s">
        <v>401</v>
      </c>
      <c r="U14" s="320"/>
      <c r="W14" s="81"/>
      <c r="X14" s="1024"/>
      <c r="Y14" s="1025"/>
      <c r="Z14" s="1025"/>
      <c r="AA14" s="1025"/>
      <c r="AB14" s="1025"/>
      <c r="AC14" s="1025"/>
      <c r="AD14" s="1025"/>
      <c r="AE14" s="1025"/>
      <c r="AF14" s="1003"/>
      <c r="AG14" s="1004"/>
      <c r="AH14" s="82"/>
      <c r="AJ14" s="46"/>
      <c r="AK14" s="47"/>
      <c r="AL14" s="55"/>
      <c r="AM14" s="55"/>
      <c r="AN14" s="383"/>
    </row>
    <row r="15" spans="1:40" ht="15" customHeight="1" x14ac:dyDescent="0.15">
      <c r="A15" s="318"/>
      <c r="B15" s="319" t="s">
        <v>402</v>
      </c>
      <c r="C15" s="43" t="s">
        <v>403</v>
      </c>
      <c r="D15" s="43" t="s">
        <v>404</v>
      </c>
      <c r="E15" s="49"/>
      <c r="F15" s="49"/>
      <c r="J15" s="44" t="s">
        <v>405</v>
      </c>
      <c r="K15" s="53"/>
      <c r="L15" s="320" t="s">
        <v>406</v>
      </c>
      <c r="M15" s="45">
        <v>291</v>
      </c>
      <c r="N15" s="45">
        <v>314</v>
      </c>
      <c r="O15" s="339" t="s">
        <v>407</v>
      </c>
      <c r="P15" s="323" t="s">
        <v>219</v>
      </c>
      <c r="T15" s="122" t="s">
        <v>408</v>
      </c>
      <c r="U15" s="386"/>
      <c r="W15" s="85"/>
      <c r="X15" s="1009"/>
      <c r="Y15" s="1010"/>
      <c r="Z15" s="1010"/>
      <c r="AA15" s="1010"/>
      <c r="AB15" s="1010"/>
      <c r="AC15" s="1010"/>
      <c r="AD15" s="1010"/>
      <c r="AE15" s="1010"/>
      <c r="AF15" s="1007"/>
      <c r="AG15" s="1008"/>
      <c r="AH15" s="86"/>
      <c r="AJ15" s="46"/>
      <c r="AK15" s="47"/>
      <c r="AL15" s="55"/>
      <c r="AM15" s="55"/>
      <c r="AN15" s="383"/>
    </row>
    <row r="16" spans="1:40" ht="15" customHeight="1" x14ac:dyDescent="0.15">
      <c r="A16" s="50" t="s">
        <v>295</v>
      </c>
      <c r="B16" s="319" t="s">
        <v>409</v>
      </c>
      <c r="C16" s="43" t="s">
        <v>410</v>
      </c>
      <c r="D16" s="43" t="s">
        <v>411</v>
      </c>
      <c r="E16" s="49"/>
      <c r="F16" s="49"/>
      <c r="J16" s="44" t="s">
        <v>412</v>
      </c>
      <c r="L16" s="320" t="s">
        <v>413</v>
      </c>
      <c r="M16" s="45">
        <v>316</v>
      </c>
      <c r="N16" s="45">
        <v>331</v>
      </c>
      <c r="O16" s="339" t="s">
        <v>414</v>
      </c>
      <c r="P16" s="323" t="s">
        <v>219</v>
      </c>
      <c r="T16" s="120" t="s">
        <v>415</v>
      </c>
      <c r="U16" s="387"/>
      <c r="W16" s="79"/>
      <c r="X16" s="1013"/>
      <c r="Y16" s="1014"/>
      <c r="Z16" s="1014"/>
      <c r="AA16" s="1014"/>
      <c r="AB16" s="1014"/>
      <c r="AC16" s="1014"/>
      <c r="AD16" s="1014"/>
      <c r="AE16" s="1014"/>
      <c r="AF16" s="999"/>
      <c r="AG16" s="1000"/>
      <c r="AH16" s="80"/>
      <c r="AJ16" s="46"/>
      <c r="AK16" s="47"/>
      <c r="AL16" s="55"/>
      <c r="AM16" s="55"/>
      <c r="AN16" s="383"/>
    </row>
    <row r="17" spans="1:40" ht="15" customHeight="1" x14ac:dyDescent="0.15">
      <c r="A17" s="96"/>
      <c r="B17" s="319" t="s">
        <v>416</v>
      </c>
      <c r="C17" s="43" t="s">
        <v>417</v>
      </c>
      <c r="D17" s="43" t="s">
        <v>418</v>
      </c>
      <c r="F17" s="49"/>
      <c r="J17" s="44" t="s">
        <v>419</v>
      </c>
      <c r="L17" s="320" t="s">
        <v>420</v>
      </c>
      <c r="M17" s="45">
        <v>333</v>
      </c>
      <c r="N17" s="45">
        <v>352</v>
      </c>
      <c r="O17" s="339" t="s">
        <v>421</v>
      </c>
      <c r="P17" s="323" t="s">
        <v>219</v>
      </c>
      <c r="T17" s="120" t="s">
        <v>422</v>
      </c>
      <c r="U17" s="320"/>
      <c r="W17" s="85"/>
      <c r="X17" s="1013"/>
      <c r="Y17" s="1014"/>
      <c r="Z17" s="1014"/>
      <c r="AA17" s="1014"/>
      <c r="AB17" s="1014"/>
      <c r="AC17" s="1014"/>
      <c r="AD17" s="1014"/>
      <c r="AE17" s="1014"/>
      <c r="AF17" s="1007"/>
      <c r="AG17" s="1008"/>
      <c r="AH17" s="86"/>
      <c r="AJ17" s="46"/>
      <c r="AK17" s="47"/>
      <c r="AL17" s="55"/>
      <c r="AM17" s="55"/>
      <c r="AN17" s="383"/>
    </row>
    <row r="18" spans="1:40" ht="15" customHeight="1" x14ac:dyDescent="0.15">
      <c r="A18" s="96"/>
      <c r="B18" s="319" t="s">
        <v>423</v>
      </c>
      <c r="C18" s="43" t="s">
        <v>424</v>
      </c>
      <c r="D18" s="43" t="s">
        <v>425</v>
      </c>
      <c r="H18" s="43" t="s">
        <v>426</v>
      </c>
      <c r="J18" s="44" t="s">
        <v>427</v>
      </c>
      <c r="L18" s="320" t="s">
        <v>428</v>
      </c>
      <c r="M18" s="45">
        <v>354</v>
      </c>
      <c r="N18" s="45">
        <v>379</v>
      </c>
      <c r="O18" s="339" t="s">
        <v>429</v>
      </c>
      <c r="P18" s="323" t="s">
        <v>219</v>
      </c>
      <c r="S18" s="252"/>
      <c r="T18" s="120" t="s">
        <v>430</v>
      </c>
      <c r="U18" s="320"/>
      <c r="W18" s="79"/>
      <c r="X18" s="997"/>
      <c r="Y18" s="998"/>
      <c r="Z18" s="998"/>
      <c r="AA18" s="998"/>
      <c r="AB18" s="998"/>
      <c r="AC18" s="998"/>
      <c r="AD18" s="998"/>
      <c r="AE18" s="998"/>
      <c r="AF18" s="999"/>
      <c r="AG18" s="1000"/>
      <c r="AH18" s="80"/>
      <c r="AJ18" s="46"/>
      <c r="AK18" s="47"/>
      <c r="AL18" s="55"/>
      <c r="AM18" s="55"/>
      <c r="AN18" s="383"/>
    </row>
    <row r="19" spans="1:40" ht="15" customHeight="1" x14ac:dyDescent="0.15">
      <c r="B19" s="319" t="s">
        <v>431</v>
      </c>
      <c r="C19" s="43" t="s">
        <v>432</v>
      </c>
      <c r="D19" s="43" t="s">
        <v>433</v>
      </c>
      <c r="H19" s="43" t="s">
        <v>434</v>
      </c>
      <c r="J19" s="44" t="s">
        <v>435</v>
      </c>
      <c r="L19" s="320" t="s">
        <v>436</v>
      </c>
      <c r="M19" s="45">
        <v>381</v>
      </c>
      <c r="N19" s="45">
        <v>404</v>
      </c>
      <c r="O19" s="339" t="s">
        <v>437</v>
      </c>
      <c r="P19" s="323" t="s">
        <v>219</v>
      </c>
      <c r="T19" s="122" t="s">
        <v>438</v>
      </c>
      <c r="U19" s="320"/>
      <c r="W19" s="81"/>
      <c r="X19" s="1001"/>
      <c r="Y19" s="1002"/>
      <c r="Z19" s="1002"/>
      <c r="AA19" s="1002"/>
      <c r="AB19" s="1002"/>
      <c r="AC19" s="1002"/>
      <c r="AD19" s="1002"/>
      <c r="AE19" s="1002"/>
      <c r="AF19" s="1003"/>
      <c r="AG19" s="1004"/>
      <c r="AH19" s="82"/>
      <c r="AJ19" s="46"/>
      <c r="AK19" s="47"/>
      <c r="AL19" s="55"/>
      <c r="AM19" s="55"/>
      <c r="AN19" s="88"/>
    </row>
    <row r="20" spans="1:40" ht="15" customHeight="1" x14ac:dyDescent="0.15">
      <c r="A20" s="96"/>
      <c r="B20" s="319" t="s">
        <v>439</v>
      </c>
      <c r="C20" s="43" t="s">
        <v>440</v>
      </c>
      <c r="D20" s="43" t="s">
        <v>441</v>
      </c>
      <c r="H20" s="43" t="s">
        <v>442</v>
      </c>
      <c r="J20" s="44" t="s">
        <v>443</v>
      </c>
      <c r="L20" s="320" t="s">
        <v>444</v>
      </c>
      <c r="M20" s="45">
        <v>406</v>
      </c>
      <c r="N20" s="45">
        <v>433</v>
      </c>
      <c r="O20" s="339" t="s">
        <v>445</v>
      </c>
      <c r="P20" s="323" t="s">
        <v>219</v>
      </c>
      <c r="T20" s="122" t="s">
        <v>446</v>
      </c>
      <c r="U20" s="386"/>
      <c r="W20" s="85"/>
      <c r="X20" s="1005"/>
      <c r="Y20" s="1006"/>
      <c r="Z20" s="1006"/>
      <c r="AA20" s="1006"/>
      <c r="AB20" s="1006"/>
      <c r="AC20" s="1006"/>
      <c r="AD20" s="1006"/>
      <c r="AE20" s="1006"/>
      <c r="AF20" s="1007"/>
      <c r="AG20" s="1008"/>
      <c r="AH20" s="86"/>
      <c r="AJ20" s="46"/>
      <c r="AK20" s="47"/>
      <c r="AL20" s="55"/>
      <c r="AM20" s="55"/>
      <c r="AN20" s="87"/>
    </row>
    <row r="21" spans="1:40" ht="15" customHeight="1" x14ac:dyDescent="0.15">
      <c r="A21" s="96"/>
      <c r="B21" s="319" t="s">
        <v>447</v>
      </c>
      <c r="D21" s="43" t="s">
        <v>448</v>
      </c>
      <c r="H21" s="43" t="s">
        <v>449</v>
      </c>
      <c r="J21" s="44" t="s">
        <v>450</v>
      </c>
      <c r="L21" s="320" t="s">
        <v>451</v>
      </c>
      <c r="M21" s="45">
        <v>435</v>
      </c>
      <c r="N21" s="45">
        <v>471</v>
      </c>
      <c r="O21" s="339" t="s">
        <v>452</v>
      </c>
      <c r="P21" s="323" t="s">
        <v>219</v>
      </c>
      <c r="T21" s="120" t="s">
        <v>453</v>
      </c>
      <c r="U21" s="386"/>
      <c r="W21" s="79"/>
      <c r="X21" s="997"/>
      <c r="Y21" s="998"/>
      <c r="Z21" s="998"/>
      <c r="AA21" s="998"/>
      <c r="AB21" s="998"/>
      <c r="AC21" s="998"/>
      <c r="AD21" s="998"/>
      <c r="AE21" s="998"/>
      <c r="AF21" s="999"/>
      <c r="AG21" s="1000"/>
      <c r="AH21" s="80"/>
      <c r="AJ21" s="46"/>
      <c r="AK21" s="47"/>
      <c r="AL21" s="55"/>
      <c r="AM21" s="55"/>
      <c r="AN21" s="55"/>
    </row>
    <row r="22" spans="1:40" ht="15" customHeight="1" x14ac:dyDescent="0.15">
      <c r="A22" s="96"/>
      <c r="B22" s="319" t="s">
        <v>454</v>
      </c>
      <c r="C22" s="43" t="s">
        <v>455</v>
      </c>
      <c r="D22" s="43" t="s">
        <v>456</v>
      </c>
      <c r="H22" s="43" t="s">
        <v>457</v>
      </c>
      <c r="J22" s="44" t="s">
        <v>458</v>
      </c>
      <c r="L22" s="320" t="s">
        <v>459</v>
      </c>
      <c r="M22" s="45">
        <v>473</v>
      </c>
      <c r="N22" s="45">
        <v>494</v>
      </c>
      <c r="O22" s="339" t="s">
        <v>460</v>
      </c>
      <c r="P22" s="323" t="s">
        <v>219</v>
      </c>
      <c r="T22" s="120" t="s">
        <v>461</v>
      </c>
      <c r="U22" s="320"/>
      <c r="W22" s="79"/>
      <c r="X22" s="997"/>
      <c r="Y22" s="998"/>
      <c r="Z22" s="998"/>
      <c r="AA22" s="998"/>
      <c r="AB22" s="998"/>
      <c r="AC22" s="998"/>
      <c r="AD22" s="998"/>
      <c r="AE22" s="998"/>
      <c r="AF22" s="999"/>
      <c r="AG22" s="1000"/>
      <c r="AH22" s="80"/>
      <c r="AJ22" s="46"/>
      <c r="AK22" s="47"/>
      <c r="AL22" s="55"/>
      <c r="AM22" s="55"/>
      <c r="AN22" s="55"/>
    </row>
    <row r="23" spans="1:40" ht="15" customHeight="1" x14ac:dyDescent="0.15">
      <c r="B23" s="319" t="s">
        <v>462</v>
      </c>
      <c r="C23" s="43" t="s">
        <v>463</v>
      </c>
      <c r="D23" s="43" t="s">
        <v>464</v>
      </c>
      <c r="H23" s="43" t="s">
        <v>465</v>
      </c>
      <c r="J23" s="44" t="s">
        <v>466</v>
      </c>
      <c r="L23" s="320" t="s">
        <v>467</v>
      </c>
      <c r="M23" s="45">
        <v>496</v>
      </c>
      <c r="N23" s="45">
        <v>518</v>
      </c>
      <c r="O23" s="339" t="s">
        <v>468</v>
      </c>
      <c r="P23" s="323" t="s">
        <v>219</v>
      </c>
      <c r="T23" s="120" t="s">
        <v>469</v>
      </c>
      <c r="U23" s="121"/>
      <c r="W23" s="79"/>
      <c r="X23" s="997"/>
      <c r="Y23" s="998"/>
      <c r="Z23" s="998"/>
      <c r="AA23" s="998"/>
      <c r="AB23" s="998"/>
      <c r="AC23" s="998"/>
      <c r="AD23" s="998"/>
      <c r="AE23" s="998"/>
      <c r="AF23" s="999"/>
      <c r="AG23" s="1000"/>
      <c r="AH23" s="80"/>
      <c r="AJ23" s="46"/>
      <c r="AK23" s="47"/>
      <c r="AL23" s="55"/>
      <c r="AM23" s="55"/>
      <c r="AN23" s="383"/>
    </row>
    <row r="24" spans="1:40" ht="15" customHeight="1" x14ac:dyDescent="0.15">
      <c r="A24" s="96"/>
      <c r="B24" s="319" t="s">
        <v>470</v>
      </c>
      <c r="C24" s="43" t="s">
        <v>471</v>
      </c>
      <c r="D24" s="43" t="s">
        <v>472</v>
      </c>
      <c r="H24" s="43" t="s">
        <v>473</v>
      </c>
      <c r="J24" s="44" t="s">
        <v>474</v>
      </c>
      <c r="L24" s="320" t="s">
        <v>475</v>
      </c>
      <c r="M24" s="45">
        <v>520</v>
      </c>
      <c r="N24" s="45">
        <v>544</v>
      </c>
      <c r="O24" s="350" t="s">
        <v>476</v>
      </c>
      <c r="P24" s="323" t="s">
        <v>219</v>
      </c>
      <c r="Q24" s="353"/>
      <c r="T24" s="120" t="s">
        <v>477</v>
      </c>
      <c r="W24" s="81"/>
      <c r="X24" s="1001"/>
      <c r="Y24" s="1002"/>
      <c r="Z24" s="1002"/>
      <c r="AA24" s="1002"/>
      <c r="AB24" s="1002"/>
      <c r="AC24" s="1002"/>
      <c r="AD24" s="1002"/>
      <c r="AE24" s="1002"/>
      <c r="AF24" s="1003"/>
      <c r="AG24" s="1004"/>
      <c r="AH24" s="82"/>
      <c r="AJ24" s="46"/>
      <c r="AK24" s="47"/>
      <c r="AL24" s="55"/>
      <c r="AM24" s="55"/>
      <c r="AN24" s="383"/>
    </row>
    <row r="25" spans="1:40" ht="15" customHeight="1" thickBot="1" x14ac:dyDescent="0.2">
      <c r="A25" s="96"/>
      <c r="B25" s="319" t="s">
        <v>478</v>
      </c>
      <c r="C25" s="43" t="s">
        <v>479</v>
      </c>
      <c r="D25" s="43" t="s">
        <v>480</v>
      </c>
      <c r="E25" s="40" t="s">
        <v>481</v>
      </c>
      <c r="H25" s="43" t="s">
        <v>482</v>
      </c>
      <c r="J25" s="44" t="s">
        <v>474</v>
      </c>
      <c r="L25" s="320" t="s">
        <v>483</v>
      </c>
      <c r="M25" s="45">
        <v>546</v>
      </c>
      <c r="N25" s="45">
        <v>562</v>
      </c>
      <c r="O25" s="349" t="s">
        <v>484</v>
      </c>
      <c r="P25" s="323" t="s">
        <v>219</v>
      </c>
      <c r="Q25" s="353"/>
      <c r="T25" s="120" t="s">
        <v>485</v>
      </c>
      <c r="AJ25" s="46"/>
      <c r="AK25" s="47"/>
      <c r="AL25" s="383"/>
      <c r="AM25" s="383"/>
      <c r="AN25" s="383"/>
    </row>
    <row r="26" spans="1:40" ht="15" customHeight="1" thickBot="1" x14ac:dyDescent="0.2">
      <c r="A26" s="96"/>
      <c r="B26" s="319" t="s">
        <v>486</v>
      </c>
      <c r="C26" s="43" t="s">
        <v>487</v>
      </c>
      <c r="D26" s="43" t="s">
        <v>488</v>
      </c>
      <c r="E26" s="45">
        <f>IF(GameSheet!A7="","",GameSheet!A7)</f>
        <v>0</v>
      </c>
      <c r="H26" s="43" t="s">
        <v>489</v>
      </c>
      <c r="J26" s="44" t="s">
        <v>490</v>
      </c>
      <c r="L26" s="320" t="s">
        <v>491</v>
      </c>
      <c r="M26" s="45">
        <v>564</v>
      </c>
      <c r="N26" s="45">
        <v>587</v>
      </c>
      <c r="O26" s="341" t="s">
        <v>492</v>
      </c>
      <c r="P26" s="326"/>
      <c r="T26" s="122" t="s">
        <v>493</v>
      </c>
      <c r="U26" s="121"/>
      <c r="AJ26" s="46"/>
      <c r="AK26" s="47"/>
      <c r="AL26" s="383"/>
      <c r="AM26" s="383"/>
      <c r="AN26" s="383"/>
    </row>
    <row r="27" spans="1:40" ht="15" customHeight="1" x14ac:dyDescent="0.15">
      <c r="A27" s="96"/>
      <c r="B27" s="319" t="s">
        <v>494</v>
      </c>
      <c r="D27" s="43" t="s">
        <v>495</v>
      </c>
      <c r="E27" s="45">
        <f>IF(GameSheet!A8="","",GameSheet!A8)</f>
        <v>0</v>
      </c>
      <c r="H27" s="43" t="s">
        <v>496</v>
      </c>
      <c r="J27" s="44" t="s">
        <v>497</v>
      </c>
      <c r="L27" s="320" t="s">
        <v>498</v>
      </c>
      <c r="M27" s="45">
        <v>589</v>
      </c>
      <c r="N27" s="45">
        <v>606</v>
      </c>
      <c r="O27" s="337" t="s">
        <v>499</v>
      </c>
      <c r="P27" s="326" t="s">
        <v>216</v>
      </c>
      <c r="T27" s="120" t="s">
        <v>500</v>
      </c>
      <c r="U27" s="121"/>
      <c r="AJ27" s="46"/>
      <c r="AK27" s="47"/>
      <c r="AL27" s="383"/>
      <c r="AM27" s="383"/>
      <c r="AN27" s="383"/>
    </row>
    <row r="28" spans="1:40" ht="15" customHeight="1" x14ac:dyDescent="0.15">
      <c r="A28" s="96"/>
      <c r="B28" s="319" t="s">
        <v>501</v>
      </c>
      <c r="D28" s="43" t="s">
        <v>502</v>
      </c>
      <c r="E28" s="43" t="s">
        <v>35</v>
      </c>
      <c r="H28" s="43" t="s">
        <v>503</v>
      </c>
      <c r="J28" s="44" t="s">
        <v>504</v>
      </c>
      <c r="L28" s="320" t="s">
        <v>505</v>
      </c>
      <c r="M28" s="45">
        <v>608</v>
      </c>
      <c r="N28" s="45">
        <v>624</v>
      </c>
      <c r="O28" s="338" t="s">
        <v>506</v>
      </c>
      <c r="P28" s="326" t="s">
        <v>216</v>
      </c>
      <c r="T28" s="120" t="s">
        <v>507</v>
      </c>
      <c r="U28" s="121"/>
      <c r="AJ28" s="46"/>
      <c r="AK28" s="47"/>
      <c r="AL28" s="383"/>
      <c r="AM28" s="383"/>
      <c r="AN28" s="383"/>
    </row>
    <row r="29" spans="1:40" ht="15" customHeight="1" x14ac:dyDescent="0.15">
      <c r="A29" s="96"/>
      <c r="B29" s="319" t="s">
        <v>508</v>
      </c>
      <c r="D29" s="43" t="s">
        <v>509</v>
      </c>
      <c r="H29" s="43" t="s">
        <v>510</v>
      </c>
      <c r="J29" s="44" t="s">
        <v>511</v>
      </c>
      <c r="L29" s="320" t="s">
        <v>512</v>
      </c>
      <c r="M29" s="45">
        <v>626</v>
      </c>
      <c r="N29" s="45">
        <v>646</v>
      </c>
      <c r="O29" s="338" t="s">
        <v>513</v>
      </c>
      <c r="P29" s="326" t="s">
        <v>216</v>
      </c>
      <c r="T29" s="122" t="s">
        <v>514</v>
      </c>
      <c r="U29" s="121"/>
      <c r="AJ29" s="46"/>
      <c r="AK29" s="47"/>
      <c r="AL29" s="383"/>
      <c r="AM29" s="383"/>
      <c r="AN29" s="383"/>
    </row>
    <row r="30" spans="1:40" ht="15" customHeight="1" x14ac:dyDescent="0.15">
      <c r="A30" s="96"/>
      <c r="B30" s="319" t="s">
        <v>515</v>
      </c>
      <c r="D30" s="43" t="s">
        <v>516</v>
      </c>
      <c r="E30" s="40" t="s">
        <v>517</v>
      </c>
      <c r="H30" s="43" t="s">
        <v>518</v>
      </c>
      <c r="J30" s="44" t="s">
        <v>519</v>
      </c>
      <c r="L30" s="320" t="s">
        <v>520</v>
      </c>
      <c r="M30" s="45">
        <v>648</v>
      </c>
      <c r="N30" s="45">
        <v>664</v>
      </c>
      <c r="O30" s="339" t="s">
        <v>521</v>
      </c>
      <c r="P30" s="326" t="s">
        <v>219</v>
      </c>
      <c r="T30" s="120" t="s">
        <v>522</v>
      </c>
      <c r="U30" s="121"/>
      <c r="AJ30" s="46"/>
      <c r="AK30" s="47"/>
      <c r="AL30" s="383"/>
      <c r="AM30" s="383"/>
      <c r="AN30" s="383"/>
    </row>
    <row r="31" spans="1:40" ht="15" customHeight="1" x14ac:dyDescent="0.15">
      <c r="A31" s="96"/>
      <c r="B31" s="319" t="s">
        <v>523</v>
      </c>
      <c r="D31" s="43" t="s">
        <v>524</v>
      </c>
      <c r="E31" s="45">
        <f>IF(GameSheet!A32="","",GameSheet!A32)</f>
        <v>0</v>
      </c>
      <c r="H31" s="43" t="s">
        <v>525</v>
      </c>
      <c r="J31" s="44" t="s">
        <v>526</v>
      </c>
      <c r="L31" s="320" t="s">
        <v>527</v>
      </c>
      <c r="M31" s="45">
        <v>666</v>
      </c>
      <c r="N31" s="45">
        <v>687</v>
      </c>
      <c r="O31" s="339" t="s">
        <v>317</v>
      </c>
      <c r="P31" s="326" t="s">
        <v>219</v>
      </c>
      <c r="T31" s="120" t="s">
        <v>528</v>
      </c>
      <c r="U31" s="121"/>
      <c r="AJ31" s="46"/>
      <c r="AK31" s="47"/>
      <c r="AL31" s="383"/>
      <c r="AM31" s="383"/>
      <c r="AN31" s="383"/>
    </row>
    <row r="32" spans="1:40" ht="15" customHeight="1" x14ac:dyDescent="0.15">
      <c r="A32" s="96"/>
      <c r="B32" s="319" t="s">
        <v>529</v>
      </c>
      <c r="D32" s="43" t="s">
        <v>530</v>
      </c>
      <c r="E32" s="45">
        <f>IF(GameSheet!A33="","",GameSheet!A33)</f>
        <v>0</v>
      </c>
      <c r="H32" s="43" t="s">
        <v>531</v>
      </c>
      <c r="J32" s="44" t="s">
        <v>532</v>
      </c>
      <c r="L32" s="320" t="s">
        <v>533</v>
      </c>
      <c r="M32" s="45">
        <v>689</v>
      </c>
      <c r="N32" s="45">
        <v>711</v>
      </c>
      <c r="O32" s="339" t="s">
        <v>327</v>
      </c>
      <c r="P32" s="326" t="s">
        <v>219</v>
      </c>
      <c r="T32" s="120"/>
      <c r="U32" s="121"/>
      <c r="AJ32" s="46"/>
      <c r="AK32" s="47"/>
      <c r="AL32" s="55"/>
      <c r="AM32" s="55"/>
      <c r="AN32" s="383"/>
    </row>
    <row r="33" spans="1:40" ht="15" customHeight="1" x14ac:dyDescent="0.15">
      <c r="A33" s="96"/>
      <c r="B33" s="319" t="s">
        <v>534</v>
      </c>
      <c r="D33" s="43" t="s">
        <v>535</v>
      </c>
      <c r="E33" s="43" t="s">
        <v>35</v>
      </c>
      <c r="H33" s="43" t="s">
        <v>536</v>
      </c>
      <c r="J33" s="44" t="s">
        <v>537</v>
      </c>
      <c r="L33" s="320" t="s">
        <v>538</v>
      </c>
      <c r="M33" s="45">
        <v>713</v>
      </c>
      <c r="N33" s="45">
        <v>732</v>
      </c>
      <c r="O33" s="339" t="s">
        <v>338</v>
      </c>
      <c r="P33" s="326" t="s">
        <v>219</v>
      </c>
      <c r="T33" s="120"/>
      <c r="U33" s="121"/>
      <c r="AJ33" s="46"/>
      <c r="AK33" s="47"/>
      <c r="AL33" s="55"/>
      <c r="AM33" s="55"/>
      <c r="AN33" s="383"/>
    </row>
    <row r="34" spans="1:40" ht="15" customHeight="1" x14ac:dyDescent="0.15">
      <c r="A34" s="96"/>
      <c r="B34" s="319" t="s">
        <v>539</v>
      </c>
      <c r="C34" s="43" t="s">
        <v>540</v>
      </c>
      <c r="D34" s="43" t="s">
        <v>541</v>
      </c>
      <c r="H34" s="43" t="s">
        <v>542</v>
      </c>
      <c r="J34" s="44" t="s">
        <v>543</v>
      </c>
      <c r="L34" s="320" t="s">
        <v>544</v>
      </c>
      <c r="M34" s="45">
        <v>734</v>
      </c>
      <c r="N34" s="45">
        <v>757</v>
      </c>
      <c r="O34" s="339" t="s">
        <v>545</v>
      </c>
      <c r="P34" s="326" t="s">
        <v>219</v>
      </c>
      <c r="S34" s="252"/>
      <c r="T34" s="120"/>
      <c r="U34" s="121"/>
      <c r="AJ34" s="46"/>
      <c r="AK34" s="47"/>
      <c r="AL34" s="55"/>
      <c r="AM34" s="55"/>
      <c r="AN34" s="383"/>
    </row>
    <row r="35" spans="1:40" ht="15" customHeight="1" x14ac:dyDescent="0.15">
      <c r="A35" s="96"/>
      <c r="B35" s="319" t="s">
        <v>546</v>
      </c>
      <c r="C35" s="43" t="s">
        <v>547</v>
      </c>
      <c r="D35" s="43" t="s">
        <v>548</v>
      </c>
      <c r="J35" s="44" t="s">
        <v>549</v>
      </c>
      <c r="L35" s="320" t="s">
        <v>550</v>
      </c>
      <c r="M35" s="45">
        <v>759</v>
      </c>
      <c r="N35" s="45">
        <v>780</v>
      </c>
      <c r="O35" s="339" t="s">
        <v>551</v>
      </c>
      <c r="P35" s="326" t="s">
        <v>219</v>
      </c>
      <c r="U35" s="121"/>
      <c r="AJ35" s="46"/>
      <c r="AK35" s="47"/>
      <c r="AL35" s="55"/>
      <c r="AM35" s="55"/>
      <c r="AN35" s="383"/>
    </row>
    <row r="36" spans="1:40" ht="15" customHeight="1" x14ac:dyDescent="0.15">
      <c r="A36" s="96"/>
      <c r="B36" s="319" t="s">
        <v>552</v>
      </c>
      <c r="D36" s="43" t="s">
        <v>553</v>
      </c>
      <c r="J36" s="44" t="s">
        <v>554</v>
      </c>
      <c r="L36" s="320" t="s">
        <v>555</v>
      </c>
      <c r="M36" s="45">
        <v>782</v>
      </c>
      <c r="N36" s="45">
        <v>800</v>
      </c>
      <c r="O36" s="339" t="s">
        <v>556</v>
      </c>
      <c r="P36" s="326" t="s">
        <v>219</v>
      </c>
      <c r="T36" s="120"/>
      <c r="U36" s="121"/>
      <c r="AJ36" s="46"/>
      <c r="AK36" s="47"/>
      <c r="AL36" s="55"/>
      <c r="AM36" s="55"/>
      <c r="AN36" s="383"/>
    </row>
    <row r="37" spans="1:40" ht="15" customHeight="1" x14ac:dyDescent="0.15">
      <c r="A37" s="96"/>
      <c r="B37" s="319" t="s">
        <v>557</v>
      </c>
      <c r="D37" s="43" t="s">
        <v>558</v>
      </c>
      <c r="J37" s="44" t="s">
        <v>559</v>
      </c>
      <c r="L37" s="320" t="s">
        <v>560</v>
      </c>
      <c r="M37" s="45">
        <v>802</v>
      </c>
      <c r="N37" s="45">
        <v>831</v>
      </c>
      <c r="O37" s="339" t="s">
        <v>561</v>
      </c>
      <c r="P37" s="326" t="s">
        <v>219</v>
      </c>
      <c r="S37" s="252"/>
      <c r="T37" s="120"/>
      <c r="U37" s="121"/>
      <c r="AJ37" s="46"/>
      <c r="AK37" s="47"/>
      <c r="AL37" s="55"/>
      <c r="AM37" s="55"/>
      <c r="AN37" s="383"/>
    </row>
    <row r="38" spans="1:40" ht="15" customHeight="1" x14ac:dyDescent="0.15">
      <c r="A38" s="96"/>
      <c r="B38" s="319" t="s">
        <v>562</v>
      </c>
      <c r="D38" s="43" t="s">
        <v>563</v>
      </c>
      <c r="J38" s="44" t="s">
        <v>564</v>
      </c>
      <c r="L38" s="320" t="s">
        <v>565</v>
      </c>
      <c r="M38" s="45">
        <v>833</v>
      </c>
      <c r="N38" s="45">
        <v>855</v>
      </c>
      <c r="O38" s="339" t="s">
        <v>566</v>
      </c>
      <c r="P38" s="326" t="s">
        <v>219</v>
      </c>
      <c r="T38" s="120"/>
      <c r="U38" s="121"/>
      <c r="AJ38" s="46"/>
      <c r="AK38" s="47"/>
      <c r="AL38" s="55"/>
      <c r="AM38" s="55"/>
      <c r="AN38" s="383"/>
    </row>
    <row r="39" spans="1:40" ht="15" customHeight="1" x14ac:dyDescent="0.15">
      <c r="A39" s="96"/>
      <c r="B39" s="319" t="s">
        <v>567</v>
      </c>
      <c r="D39" s="43" t="s">
        <v>568</v>
      </c>
      <c r="J39" s="44" t="s">
        <v>569</v>
      </c>
      <c r="L39" s="320" t="s">
        <v>570</v>
      </c>
      <c r="M39" s="45">
        <v>857</v>
      </c>
      <c r="N39" s="45">
        <v>881</v>
      </c>
      <c r="O39" s="339" t="s">
        <v>571</v>
      </c>
      <c r="P39" s="326" t="s">
        <v>219</v>
      </c>
      <c r="T39" s="120"/>
      <c r="U39" s="121"/>
      <c r="AJ39" s="46"/>
      <c r="AK39" s="47"/>
      <c r="AL39" s="55"/>
      <c r="AM39" s="55"/>
      <c r="AN39" s="383"/>
    </row>
    <row r="40" spans="1:40" ht="15" customHeight="1" x14ac:dyDescent="0.15">
      <c r="A40" s="96"/>
      <c r="B40" s="319" t="s">
        <v>572</v>
      </c>
      <c r="D40" s="43" t="s">
        <v>573</v>
      </c>
      <c r="J40" s="44" t="s">
        <v>574</v>
      </c>
      <c r="L40" s="320" t="s">
        <v>575</v>
      </c>
      <c r="M40" s="321">
        <v>2</v>
      </c>
      <c r="N40" s="321">
        <v>22</v>
      </c>
      <c r="O40" s="339" t="s">
        <v>576</v>
      </c>
      <c r="P40" s="326" t="s">
        <v>219</v>
      </c>
      <c r="T40" s="120"/>
      <c r="U40" s="121"/>
      <c r="AJ40" s="46"/>
      <c r="AK40" s="47"/>
      <c r="AL40" s="55"/>
      <c r="AM40" s="55"/>
      <c r="AN40" s="383"/>
    </row>
    <row r="41" spans="1:40" ht="15" customHeight="1" x14ac:dyDescent="0.15">
      <c r="A41" s="96"/>
      <c r="B41" s="319" t="s">
        <v>577</v>
      </c>
      <c r="C41" s="43" t="s">
        <v>578</v>
      </c>
      <c r="D41" s="43" t="s">
        <v>579</v>
      </c>
      <c r="J41" s="44" t="s">
        <v>580</v>
      </c>
      <c r="L41" s="320"/>
      <c r="M41" s="321">
        <v>24</v>
      </c>
      <c r="N41" s="321">
        <v>40</v>
      </c>
      <c r="O41" s="339" t="s">
        <v>581</v>
      </c>
      <c r="P41" s="326" t="s">
        <v>219</v>
      </c>
      <c r="T41" s="120"/>
      <c r="U41" s="121"/>
      <c r="AJ41" s="46"/>
      <c r="AK41" s="47"/>
      <c r="AL41" s="55"/>
      <c r="AM41" s="55"/>
      <c r="AN41" s="383"/>
    </row>
    <row r="42" spans="1:40" ht="15" customHeight="1" x14ac:dyDescent="0.15">
      <c r="A42" s="96"/>
      <c r="B42" s="319" t="s">
        <v>582</v>
      </c>
      <c r="C42" s="43" t="s">
        <v>583</v>
      </c>
      <c r="D42" s="43" t="s">
        <v>584</v>
      </c>
      <c r="J42" s="44" t="s">
        <v>585</v>
      </c>
      <c r="L42" s="320" t="s">
        <v>586</v>
      </c>
      <c r="M42" s="321">
        <v>42</v>
      </c>
      <c r="N42" s="321"/>
      <c r="O42" s="339" t="s">
        <v>587</v>
      </c>
      <c r="P42" s="326" t="s">
        <v>219</v>
      </c>
      <c r="T42" s="120"/>
      <c r="U42" s="121"/>
      <c r="AJ42" s="46"/>
      <c r="AK42" s="47"/>
      <c r="AL42" s="55"/>
      <c r="AM42" s="55"/>
      <c r="AN42" s="383"/>
    </row>
    <row r="43" spans="1:40" ht="15" customHeight="1" x14ac:dyDescent="0.15">
      <c r="A43" s="96"/>
      <c r="B43" s="319" t="s">
        <v>588</v>
      </c>
      <c r="C43" s="43" t="s">
        <v>589</v>
      </c>
      <c r="D43" s="43" t="s">
        <v>590</v>
      </c>
      <c r="J43" s="44" t="s">
        <v>591</v>
      </c>
      <c r="L43" s="320" t="s">
        <v>592</v>
      </c>
      <c r="M43" s="321"/>
      <c r="N43" s="321"/>
      <c r="O43" s="339" t="s">
        <v>593</v>
      </c>
      <c r="P43" s="326" t="s">
        <v>219</v>
      </c>
      <c r="T43" s="120"/>
      <c r="U43" s="121"/>
      <c r="AJ43" s="46"/>
      <c r="AK43" s="47"/>
      <c r="AL43" s="55"/>
      <c r="AM43" s="55"/>
      <c r="AN43" s="383"/>
    </row>
    <row r="44" spans="1:40" ht="15" customHeight="1" x14ac:dyDescent="0.15">
      <c r="A44" s="96"/>
      <c r="B44" s="319" t="s">
        <v>594</v>
      </c>
      <c r="C44" s="43" t="s">
        <v>595</v>
      </c>
      <c r="D44" s="43" t="s">
        <v>596</v>
      </c>
      <c r="J44" s="44" t="s">
        <v>597</v>
      </c>
      <c r="L44" s="320" t="s">
        <v>598</v>
      </c>
      <c r="M44" s="321"/>
      <c r="N44" s="321"/>
      <c r="O44" s="339" t="s">
        <v>599</v>
      </c>
      <c r="P44" s="326" t="s">
        <v>219</v>
      </c>
      <c r="S44" s="252"/>
      <c r="T44" s="120"/>
      <c r="U44" s="121"/>
      <c r="AJ44" s="46"/>
      <c r="AK44" s="47"/>
      <c r="AL44" s="55"/>
      <c r="AM44" s="55"/>
      <c r="AN44" s="383"/>
    </row>
    <row r="45" spans="1:40" ht="15" customHeight="1" thickBot="1" x14ac:dyDescent="0.2">
      <c r="A45" s="96"/>
      <c r="B45" s="319" t="s">
        <v>600</v>
      </c>
      <c r="C45" s="43" t="s">
        <v>601</v>
      </c>
      <c r="D45" s="43" t="s">
        <v>602</v>
      </c>
      <c r="J45" s="44" t="s">
        <v>603</v>
      </c>
      <c r="L45" s="320" t="s">
        <v>604</v>
      </c>
      <c r="M45" s="321"/>
      <c r="N45" s="321"/>
      <c r="O45" s="340" t="s">
        <v>605</v>
      </c>
      <c r="P45" s="326" t="s">
        <v>219</v>
      </c>
      <c r="T45" s="120"/>
      <c r="U45" s="121"/>
      <c r="AJ45" s="46"/>
      <c r="AK45" s="47"/>
      <c r="AL45" s="55"/>
      <c r="AM45" s="55"/>
      <c r="AN45" s="383"/>
    </row>
    <row r="46" spans="1:40" ht="15" customHeight="1" thickBot="1" x14ac:dyDescent="0.2">
      <c r="A46" s="96"/>
      <c r="B46" s="319" t="s">
        <v>606</v>
      </c>
      <c r="C46" s="43" t="s">
        <v>607</v>
      </c>
      <c r="D46" s="43" t="s">
        <v>608</v>
      </c>
      <c r="J46" s="44" t="s">
        <v>609</v>
      </c>
      <c r="L46" s="320" t="s">
        <v>610</v>
      </c>
      <c r="M46" s="321"/>
      <c r="N46" s="321"/>
      <c r="O46" s="342" t="s">
        <v>611</v>
      </c>
      <c r="P46" s="326"/>
      <c r="T46" s="120"/>
      <c r="U46" s="121"/>
      <c r="AJ46" s="46"/>
      <c r="AK46" s="47"/>
      <c r="AL46" s="55"/>
      <c r="AM46" s="55"/>
      <c r="AN46" s="383"/>
    </row>
    <row r="47" spans="1:40" ht="15" customHeight="1" x14ac:dyDescent="0.15">
      <c r="A47" s="96"/>
      <c r="B47" s="319" t="s">
        <v>612</v>
      </c>
      <c r="C47" s="43" t="s">
        <v>613</v>
      </c>
      <c r="D47" s="43" t="s">
        <v>614</v>
      </c>
      <c r="J47" s="44" t="s">
        <v>615</v>
      </c>
      <c r="L47" s="320" t="s">
        <v>616</v>
      </c>
      <c r="M47" s="321"/>
      <c r="N47" s="321"/>
      <c r="O47" s="337" t="s">
        <v>617</v>
      </c>
      <c r="P47" s="326" t="s">
        <v>216</v>
      </c>
      <c r="T47" s="120"/>
      <c r="U47" s="121"/>
      <c r="AJ47" s="46"/>
      <c r="AK47" s="47"/>
      <c r="AL47" s="78"/>
      <c r="AM47" s="78"/>
      <c r="AN47" s="78"/>
    </row>
    <row r="48" spans="1:40" ht="15" customHeight="1" x14ac:dyDescent="0.15">
      <c r="A48" s="96"/>
      <c r="B48" s="319" t="s">
        <v>618</v>
      </c>
      <c r="C48" s="43" t="s">
        <v>619</v>
      </c>
      <c r="D48" s="43" t="s">
        <v>620</v>
      </c>
      <c r="J48" s="44" t="s">
        <v>621</v>
      </c>
      <c r="L48" s="320" t="s">
        <v>622</v>
      </c>
      <c r="M48" s="321"/>
      <c r="N48" s="321"/>
      <c r="O48" s="338" t="s">
        <v>623</v>
      </c>
      <c r="P48" s="326" t="s">
        <v>216</v>
      </c>
      <c r="T48" s="120"/>
      <c r="U48" s="121"/>
      <c r="AJ48" s="46"/>
      <c r="AK48" s="47"/>
      <c r="AL48" s="78"/>
      <c r="AM48" s="78"/>
      <c r="AN48" s="78"/>
    </row>
    <row r="49" spans="1:40" ht="15" customHeight="1" x14ac:dyDescent="0.15">
      <c r="A49" s="96"/>
      <c r="B49" s="319" t="s">
        <v>624</v>
      </c>
      <c r="C49" s="43" t="s">
        <v>625</v>
      </c>
      <c r="D49" s="43" t="s">
        <v>626</v>
      </c>
      <c r="J49" s="44" t="s">
        <v>627</v>
      </c>
      <c r="L49" s="320" t="s">
        <v>628</v>
      </c>
      <c r="M49" s="321"/>
      <c r="N49" s="321"/>
      <c r="O49" s="338" t="s">
        <v>629</v>
      </c>
      <c r="P49" s="326" t="s">
        <v>216</v>
      </c>
      <c r="T49" s="120"/>
      <c r="U49" s="121"/>
      <c r="AJ49" s="46"/>
      <c r="AK49" s="47"/>
      <c r="AL49" s="78"/>
      <c r="AM49" s="78"/>
      <c r="AN49" s="78"/>
    </row>
    <row r="50" spans="1:40" ht="15" customHeight="1" x14ac:dyDescent="0.15">
      <c r="A50" s="96"/>
      <c r="B50" s="319" t="s">
        <v>630</v>
      </c>
      <c r="C50" s="43" t="s">
        <v>631</v>
      </c>
      <c r="D50" s="43" t="s">
        <v>632</v>
      </c>
      <c r="J50" s="44" t="s">
        <v>633</v>
      </c>
      <c r="L50" s="320" t="s">
        <v>634</v>
      </c>
      <c r="M50" s="321"/>
      <c r="N50" s="321"/>
      <c r="O50" s="339" t="s">
        <v>635</v>
      </c>
      <c r="P50" s="326" t="s">
        <v>219</v>
      </c>
      <c r="T50" s="120"/>
      <c r="U50" s="121"/>
      <c r="AJ50" s="46"/>
      <c r="AK50" s="47"/>
      <c r="AL50" s="78"/>
      <c r="AM50" s="78"/>
      <c r="AN50" s="78"/>
    </row>
    <row r="51" spans="1:40" ht="15" customHeight="1" x14ac:dyDescent="0.15">
      <c r="A51" s="96"/>
      <c r="B51" s="319" t="s">
        <v>636</v>
      </c>
      <c r="C51" s="43" t="s">
        <v>637</v>
      </c>
      <c r="D51" s="43" t="s">
        <v>638</v>
      </c>
      <c r="E51" s="54"/>
      <c r="F51" s="55"/>
      <c r="G51" s="56"/>
      <c r="J51" s="44" t="s">
        <v>639</v>
      </c>
      <c r="L51" s="320" t="s">
        <v>640</v>
      </c>
      <c r="M51" s="321"/>
      <c r="N51" s="321"/>
      <c r="O51" s="339" t="s">
        <v>641</v>
      </c>
      <c r="P51" s="326" t="s">
        <v>219</v>
      </c>
      <c r="T51" s="120"/>
      <c r="U51" s="121"/>
      <c r="AJ51" s="46"/>
      <c r="AK51" s="47"/>
      <c r="AL51" s="78"/>
      <c r="AM51" s="78"/>
      <c r="AN51" s="78"/>
    </row>
    <row r="52" spans="1:40" ht="15" customHeight="1" x14ac:dyDescent="0.15">
      <c r="A52" s="96"/>
      <c r="B52" s="319" t="s">
        <v>642</v>
      </c>
      <c r="D52" s="43" t="s">
        <v>643</v>
      </c>
      <c r="E52" s="54"/>
      <c r="F52" s="55"/>
      <c r="G52" s="56"/>
      <c r="J52" s="44" t="s">
        <v>644</v>
      </c>
      <c r="L52" s="325"/>
      <c r="M52" s="45"/>
      <c r="N52" s="45"/>
      <c r="O52" s="339" t="s">
        <v>645</v>
      </c>
      <c r="P52" s="326" t="s">
        <v>219</v>
      </c>
      <c r="T52" s="120"/>
      <c r="U52" s="121"/>
      <c r="AJ52" s="46"/>
      <c r="AK52" s="47"/>
      <c r="AL52" s="78"/>
      <c r="AM52" s="78"/>
      <c r="AN52" s="78"/>
    </row>
    <row r="53" spans="1:40" ht="15" customHeight="1" x14ac:dyDescent="0.2">
      <c r="A53" s="96"/>
      <c r="B53" s="319" t="s">
        <v>646</v>
      </c>
      <c r="D53" s="43" t="s">
        <v>647</v>
      </c>
      <c r="E53" s="54"/>
      <c r="F53" s="55"/>
      <c r="G53" s="56"/>
      <c r="J53" s="44" t="s">
        <v>648</v>
      </c>
      <c r="L53" s="322"/>
      <c r="M53" s="45"/>
      <c r="N53" s="45"/>
      <c r="O53" s="339" t="s">
        <v>649</v>
      </c>
      <c r="P53" s="326" t="s">
        <v>219</v>
      </c>
      <c r="T53" s="120"/>
      <c r="U53" s="121"/>
      <c r="AJ53" s="46"/>
      <c r="AK53" s="47"/>
      <c r="AL53" s="78"/>
      <c r="AM53" s="78"/>
      <c r="AN53" s="78"/>
    </row>
    <row r="54" spans="1:40" ht="15" customHeight="1" x14ac:dyDescent="0.15">
      <c r="A54" s="96"/>
      <c r="B54" s="319" t="s">
        <v>650</v>
      </c>
      <c r="D54" s="43" t="s">
        <v>651</v>
      </c>
      <c r="E54" s="54"/>
      <c r="F54" s="55"/>
      <c r="G54" s="56"/>
      <c r="J54" s="44" t="s">
        <v>536</v>
      </c>
      <c r="L54" s="126" t="s">
        <v>652</v>
      </c>
      <c r="M54" s="45"/>
      <c r="N54" s="45"/>
      <c r="O54" s="339" t="s">
        <v>653</v>
      </c>
      <c r="P54" s="326" t="s">
        <v>219</v>
      </c>
      <c r="T54" s="120"/>
      <c r="U54" s="121"/>
      <c r="AJ54" s="46"/>
      <c r="AK54" s="47"/>
      <c r="AL54" s="78"/>
      <c r="AM54" s="78"/>
      <c r="AN54" s="78"/>
    </row>
    <row r="55" spans="1:40" ht="15" customHeight="1" x14ac:dyDescent="0.15">
      <c r="A55" s="96"/>
      <c r="B55" s="319" t="s">
        <v>654</v>
      </c>
      <c r="D55" s="43" t="s">
        <v>655</v>
      </c>
      <c r="E55" s="54"/>
      <c r="F55" s="55"/>
      <c r="G55" s="56"/>
      <c r="J55" s="44" t="s">
        <v>656</v>
      </c>
      <c r="L55" s="125"/>
      <c r="M55" s="45"/>
      <c r="N55" s="45"/>
      <c r="O55" s="339" t="s">
        <v>657</v>
      </c>
      <c r="P55" s="326" t="s">
        <v>219</v>
      </c>
      <c r="T55" s="120"/>
      <c r="U55" s="121"/>
      <c r="AJ55" s="46"/>
      <c r="AK55" s="47"/>
      <c r="AL55" s="78"/>
      <c r="AM55" s="78"/>
      <c r="AN55" s="78"/>
    </row>
    <row r="56" spans="1:40" ht="15" customHeight="1" x14ac:dyDescent="0.2">
      <c r="A56" s="96"/>
      <c r="B56" s="319" t="s">
        <v>658</v>
      </c>
      <c r="D56" s="43" t="s">
        <v>659</v>
      </c>
      <c r="E56" s="54"/>
      <c r="F56" s="55"/>
      <c r="G56" s="56"/>
      <c r="J56" s="44" t="s">
        <v>660</v>
      </c>
      <c r="M56" s="45"/>
      <c r="N56" s="45"/>
      <c r="O56" s="339" t="s">
        <v>661</v>
      </c>
      <c r="P56" s="326" t="s">
        <v>219</v>
      </c>
      <c r="T56" s="120"/>
      <c r="AJ56" s="46"/>
      <c r="AK56" s="47"/>
      <c r="AL56" s="78"/>
      <c r="AM56" s="78"/>
      <c r="AN56" s="78"/>
    </row>
    <row r="57" spans="1:40" ht="15" customHeight="1" x14ac:dyDescent="0.15">
      <c r="A57" s="96"/>
      <c r="B57" s="319" t="s">
        <v>662</v>
      </c>
      <c r="D57" s="43" t="s">
        <v>663</v>
      </c>
      <c r="E57" s="54"/>
      <c r="F57" s="55"/>
      <c r="G57" s="56"/>
      <c r="J57" s="44" t="s">
        <v>62</v>
      </c>
      <c r="L57" s="125"/>
      <c r="M57" s="45"/>
      <c r="N57" s="45"/>
      <c r="O57" s="339" t="s">
        <v>664</v>
      </c>
      <c r="P57" s="326" t="s">
        <v>219</v>
      </c>
      <c r="T57" s="120"/>
      <c r="AJ57" s="46"/>
      <c r="AK57" s="47"/>
      <c r="AL57" s="78"/>
      <c r="AM57" s="78"/>
      <c r="AN57" s="78"/>
    </row>
    <row r="58" spans="1:40" ht="15" customHeight="1" x14ac:dyDescent="0.15">
      <c r="A58" s="96"/>
      <c r="B58" s="319" t="s">
        <v>665</v>
      </c>
      <c r="D58" s="43" t="s">
        <v>666</v>
      </c>
      <c r="E58" s="54"/>
      <c r="F58" s="55"/>
      <c r="G58" s="56"/>
      <c r="J58" s="44" t="s">
        <v>667</v>
      </c>
      <c r="L58" s="125"/>
      <c r="M58" s="45"/>
      <c r="N58" s="45"/>
      <c r="O58" s="339" t="s">
        <v>668</v>
      </c>
      <c r="P58" s="326" t="s">
        <v>219</v>
      </c>
      <c r="T58" s="120"/>
      <c r="U58" s="121"/>
      <c r="AJ58" s="46"/>
      <c r="AK58" s="47"/>
      <c r="AL58" s="78"/>
      <c r="AM58" s="78"/>
      <c r="AN58" s="383"/>
    </row>
    <row r="59" spans="1:40" ht="15" customHeight="1" x14ac:dyDescent="0.15">
      <c r="A59" s="96"/>
      <c r="B59" s="319" t="s">
        <v>669</v>
      </c>
      <c r="D59" s="43" t="s">
        <v>670</v>
      </c>
      <c r="E59" s="54"/>
      <c r="F59" s="55"/>
      <c r="G59" s="56"/>
      <c r="J59" s="44" t="s">
        <v>671</v>
      </c>
      <c r="L59" s="125"/>
      <c r="M59" s="45"/>
      <c r="N59" s="45"/>
      <c r="O59" s="339" t="s">
        <v>672</v>
      </c>
      <c r="P59" s="326" t="s">
        <v>219</v>
      </c>
      <c r="T59" s="120"/>
      <c r="U59" s="121"/>
      <c r="AJ59" s="46"/>
      <c r="AK59" s="47"/>
      <c r="AL59" s="78"/>
      <c r="AM59" s="78"/>
      <c r="AN59" s="383"/>
    </row>
    <row r="60" spans="1:40" ht="15" customHeight="1" x14ac:dyDescent="0.15">
      <c r="A60" s="96"/>
      <c r="B60" s="319" t="s">
        <v>673</v>
      </c>
      <c r="D60" s="43" t="s">
        <v>674</v>
      </c>
      <c r="E60" s="54"/>
      <c r="F60" s="55"/>
      <c r="G60" s="56"/>
      <c r="J60" s="44" t="s">
        <v>675</v>
      </c>
      <c r="L60" s="125"/>
      <c r="M60" s="45"/>
      <c r="N60" s="45"/>
      <c r="O60" s="339" t="s">
        <v>676</v>
      </c>
      <c r="P60" s="326" t="s">
        <v>219</v>
      </c>
      <c r="T60" s="120"/>
      <c r="U60" s="121"/>
      <c r="AJ60" s="46"/>
      <c r="AK60" s="47"/>
      <c r="AL60" s="78"/>
      <c r="AM60" s="78"/>
      <c r="AN60" s="383"/>
    </row>
    <row r="61" spans="1:40" ht="15" customHeight="1" x14ac:dyDescent="0.15">
      <c r="A61" s="96"/>
      <c r="B61" s="319" t="s">
        <v>677</v>
      </c>
      <c r="D61" s="43" t="s">
        <v>678</v>
      </c>
      <c r="E61" s="54"/>
      <c r="F61" s="55"/>
      <c r="G61" s="56"/>
      <c r="J61" s="44" t="s">
        <v>679</v>
      </c>
      <c r="L61" s="125"/>
      <c r="M61" s="45"/>
      <c r="N61" s="45"/>
      <c r="O61" s="339" t="s">
        <v>680</v>
      </c>
      <c r="P61" s="326" t="s">
        <v>219</v>
      </c>
      <c r="T61" s="120"/>
      <c r="U61" s="121"/>
      <c r="AJ61" s="46"/>
      <c r="AK61" s="47"/>
      <c r="AL61" s="78"/>
      <c r="AM61" s="78"/>
      <c r="AN61" s="383"/>
    </row>
    <row r="62" spans="1:40" ht="15" customHeight="1" x14ac:dyDescent="0.15">
      <c r="A62" s="96"/>
      <c r="B62" s="319" t="s">
        <v>681</v>
      </c>
      <c r="D62" s="43" t="s">
        <v>682</v>
      </c>
      <c r="J62" s="44" t="s">
        <v>683</v>
      </c>
      <c r="L62" s="125"/>
      <c r="M62" s="45"/>
      <c r="N62" s="45"/>
      <c r="O62" s="339" t="s">
        <v>684</v>
      </c>
      <c r="P62" s="326" t="s">
        <v>219</v>
      </c>
      <c r="T62" s="120"/>
      <c r="U62" s="121"/>
      <c r="AJ62" s="46"/>
      <c r="AK62" s="47"/>
      <c r="AL62" s="383"/>
      <c r="AM62" s="383"/>
      <c r="AN62" s="383"/>
    </row>
    <row r="63" spans="1:40" ht="15" customHeight="1" thickBot="1" x14ac:dyDescent="0.2">
      <c r="A63" s="96"/>
      <c r="B63" s="319" t="s">
        <v>685</v>
      </c>
      <c r="D63" s="43" t="s">
        <v>686</v>
      </c>
      <c r="J63" s="44" t="s">
        <v>687</v>
      </c>
      <c r="L63" s="125"/>
      <c r="M63" s="45"/>
      <c r="N63" s="45"/>
      <c r="O63" s="349" t="s">
        <v>688</v>
      </c>
      <c r="P63" s="326" t="s">
        <v>219</v>
      </c>
      <c r="Q63" s="353"/>
      <c r="T63" s="120"/>
      <c r="U63" s="121"/>
      <c r="AJ63" s="46"/>
      <c r="AK63" s="47"/>
      <c r="AL63" s="55"/>
      <c r="AM63" s="55"/>
      <c r="AN63" s="383"/>
    </row>
    <row r="64" spans="1:40" ht="15" customHeight="1" thickBot="1" x14ac:dyDescent="0.2">
      <c r="A64" s="96"/>
      <c r="B64" s="319" t="s">
        <v>689</v>
      </c>
      <c r="D64" s="43" t="s">
        <v>690</v>
      </c>
      <c r="J64" s="44" t="s">
        <v>691</v>
      </c>
      <c r="L64" s="125"/>
      <c r="M64" s="45"/>
      <c r="N64" s="45"/>
      <c r="O64" s="336" t="s">
        <v>692</v>
      </c>
      <c r="P64" s="326"/>
      <c r="T64" s="120"/>
      <c r="U64" s="121"/>
      <c r="AJ64" s="46"/>
      <c r="AK64" s="47"/>
      <c r="AL64" s="55"/>
      <c r="AM64" s="55"/>
      <c r="AN64" s="383"/>
    </row>
    <row r="65" spans="1:40" ht="15" customHeight="1" x14ac:dyDescent="0.15">
      <c r="A65" s="96"/>
      <c r="B65" s="319" t="s">
        <v>693</v>
      </c>
      <c r="D65" s="43" t="s">
        <v>694</v>
      </c>
      <c r="J65" s="44" t="s">
        <v>695</v>
      </c>
      <c r="L65" s="125"/>
      <c r="M65" s="45"/>
      <c r="N65" s="45"/>
      <c r="O65" s="337" t="s">
        <v>696</v>
      </c>
      <c r="P65" s="326" t="s">
        <v>216</v>
      </c>
      <c r="T65" s="120"/>
      <c r="U65" s="121"/>
      <c r="AJ65" s="46"/>
      <c r="AK65" s="47"/>
      <c r="AL65" s="55"/>
      <c r="AM65" s="55"/>
      <c r="AN65" s="383"/>
    </row>
    <row r="66" spans="1:40" ht="15" customHeight="1" x14ac:dyDescent="0.15">
      <c r="A66" s="96"/>
      <c r="B66" s="319" t="s">
        <v>697</v>
      </c>
      <c r="D66" s="43" t="s">
        <v>698</v>
      </c>
      <c r="J66" s="44" t="s">
        <v>699</v>
      </c>
      <c r="L66" s="125"/>
      <c r="M66" s="45"/>
      <c r="N66" s="45"/>
      <c r="O66" s="338" t="s">
        <v>629</v>
      </c>
      <c r="P66" s="326" t="s">
        <v>216</v>
      </c>
      <c r="T66" s="120"/>
      <c r="U66" s="121"/>
      <c r="AJ66" s="46"/>
      <c r="AK66" s="47"/>
      <c r="AL66" s="55"/>
      <c r="AM66" s="55"/>
      <c r="AN66" s="383"/>
    </row>
    <row r="67" spans="1:40" ht="15" customHeight="1" x14ac:dyDescent="0.15">
      <c r="A67" s="96"/>
      <c r="B67" s="319" t="s">
        <v>700</v>
      </c>
      <c r="D67" s="43" t="s">
        <v>701</v>
      </c>
      <c r="J67" s="44" t="s">
        <v>702</v>
      </c>
      <c r="L67" s="125"/>
      <c r="M67" s="45"/>
      <c r="N67" s="45"/>
      <c r="O67" s="338" t="s">
        <v>703</v>
      </c>
      <c r="P67" s="326" t="s">
        <v>216</v>
      </c>
      <c r="T67" s="120"/>
      <c r="U67" s="121"/>
      <c r="AJ67" s="46"/>
      <c r="AK67" s="47"/>
      <c r="AL67" s="55"/>
      <c r="AM67" s="55"/>
      <c r="AN67" s="55"/>
    </row>
    <row r="68" spans="1:40" ht="15" customHeight="1" x14ac:dyDescent="0.15">
      <c r="A68" s="96"/>
      <c r="B68" s="319" t="s">
        <v>704</v>
      </c>
      <c r="D68" s="43" t="s">
        <v>705</v>
      </c>
      <c r="L68" s="125"/>
      <c r="M68" s="45"/>
      <c r="N68" s="45"/>
      <c r="O68" s="339" t="s">
        <v>617</v>
      </c>
      <c r="P68" s="323" t="s">
        <v>219</v>
      </c>
      <c r="T68" s="120"/>
      <c r="U68" s="121"/>
      <c r="AJ68" s="46"/>
      <c r="AK68" s="47"/>
      <c r="AL68" s="55"/>
      <c r="AM68" s="55"/>
      <c r="AN68" s="383"/>
    </row>
    <row r="69" spans="1:40" ht="15" customHeight="1" x14ac:dyDescent="0.15">
      <c r="A69" s="96"/>
      <c r="B69" s="319" t="s">
        <v>706</v>
      </c>
      <c r="D69" s="43" t="s">
        <v>707</v>
      </c>
      <c r="J69" s="50" t="s">
        <v>295</v>
      </c>
      <c r="L69" s="125"/>
      <c r="M69" s="45"/>
      <c r="N69" s="45"/>
      <c r="O69" s="339" t="s">
        <v>708</v>
      </c>
      <c r="P69" s="323" t="s">
        <v>219</v>
      </c>
      <c r="T69" s="120"/>
      <c r="U69" s="121"/>
      <c r="AJ69" s="46"/>
      <c r="AK69" s="47"/>
      <c r="AL69" s="55"/>
      <c r="AM69" s="55"/>
      <c r="AN69" s="383"/>
    </row>
    <row r="70" spans="1:40" ht="15" customHeight="1" x14ac:dyDescent="0.15">
      <c r="A70" s="96"/>
      <c r="B70" s="319" t="s">
        <v>709</v>
      </c>
      <c r="D70" s="43" t="s">
        <v>710</v>
      </c>
      <c r="L70" s="125"/>
      <c r="M70" s="45"/>
      <c r="N70" s="45"/>
      <c r="O70" s="339" t="s">
        <v>711</v>
      </c>
      <c r="P70" s="323" t="s">
        <v>219</v>
      </c>
      <c r="T70" s="120"/>
      <c r="U70" s="121"/>
      <c r="AJ70" s="46"/>
      <c r="AK70" s="47"/>
      <c r="AL70" s="55"/>
      <c r="AM70" s="55"/>
      <c r="AN70" s="383"/>
    </row>
    <row r="71" spans="1:40" ht="15" customHeight="1" x14ac:dyDescent="0.15">
      <c r="A71" s="96"/>
      <c r="B71" s="319" t="s">
        <v>712</v>
      </c>
      <c r="D71" s="43" t="s">
        <v>713</v>
      </c>
      <c r="L71" s="125"/>
      <c r="M71" s="45"/>
      <c r="N71" s="45"/>
      <c r="O71" s="339" t="s">
        <v>714</v>
      </c>
      <c r="P71" s="323" t="s">
        <v>219</v>
      </c>
      <c r="T71" s="120"/>
      <c r="U71" s="121"/>
      <c r="AJ71" s="46"/>
      <c r="AK71" s="47"/>
      <c r="AL71" s="55"/>
      <c r="AM71" s="55"/>
      <c r="AN71" s="55"/>
    </row>
    <row r="72" spans="1:40" ht="15" customHeight="1" x14ac:dyDescent="0.15">
      <c r="A72" s="96"/>
      <c r="B72" s="319" t="s">
        <v>715</v>
      </c>
      <c r="D72" s="43" t="s">
        <v>716</v>
      </c>
      <c r="L72" s="125"/>
      <c r="M72" s="45"/>
      <c r="N72" s="45"/>
      <c r="O72" s="339" t="s">
        <v>717</v>
      </c>
      <c r="P72" s="323" t="s">
        <v>219</v>
      </c>
      <c r="T72" s="120"/>
      <c r="U72" s="121"/>
      <c r="AJ72" s="46"/>
      <c r="AK72" s="47"/>
      <c r="AL72" s="55"/>
      <c r="AM72" s="55"/>
      <c r="AN72" s="383"/>
    </row>
    <row r="73" spans="1:40" ht="15" customHeight="1" x14ac:dyDescent="0.15">
      <c r="A73" s="96"/>
      <c r="B73" s="319" t="s">
        <v>718</v>
      </c>
      <c r="D73" s="43" t="s">
        <v>719</v>
      </c>
      <c r="L73" s="125"/>
      <c r="M73" s="45"/>
      <c r="N73" s="45"/>
      <c r="O73" s="339" t="s">
        <v>623</v>
      </c>
      <c r="P73" s="323" t="s">
        <v>219</v>
      </c>
      <c r="T73" s="120"/>
      <c r="U73" s="121"/>
      <c r="AJ73" s="46"/>
      <c r="AK73" s="47"/>
      <c r="AL73" s="55"/>
      <c r="AM73" s="55"/>
      <c r="AN73" s="383"/>
    </row>
    <row r="74" spans="1:40" ht="15" customHeight="1" x14ac:dyDescent="0.15">
      <c r="A74" s="96"/>
      <c r="B74" s="319" t="s">
        <v>720</v>
      </c>
      <c r="D74" s="43" t="s">
        <v>721</v>
      </c>
      <c r="L74" s="125"/>
      <c r="M74" s="45"/>
      <c r="N74" s="45"/>
      <c r="O74" s="339" t="s">
        <v>722</v>
      </c>
      <c r="P74" s="323" t="s">
        <v>219</v>
      </c>
      <c r="T74" s="120"/>
      <c r="U74" s="121"/>
      <c r="AJ74" s="46"/>
      <c r="AK74" s="47"/>
      <c r="AL74" s="55"/>
      <c r="AM74" s="55"/>
      <c r="AN74" s="383"/>
    </row>
    <row r="75" spans="1:40" ht="15" customHeight="1" x14ac:dyDescent="0.15">
      <c r="A75" s="96"/>
      <c r="B75" s="319" t="s">
        <v>723</v>
      </c>
      <c r="D75" s="43" t="s">
        <v>724</v>
      </c>
      <c r="L75" s="125"/>
      <c r="M75" s="45"/>
      <c r="N75" s="45"/>
      <c r="O75" s="339" t="s">
        <v>725</v>
      </c>
      <c r="P75" s="323" t="s">
        <v>219</v>
      </c>
      <c r="U75" s="121"/>
      <c r="AJ75" s="46"/>
      <c r="AK75" s="47"/>
      <c r="AL75" s="55"/>
      <c r="AM75" s="55"/>
      <c r="AN75" s="383"/>
    </row>
    <row r="76" spans="1:40" ht="15" customHeight="1" x14ac:dyDescent="0.15">
      <c r="A76" s="96"/>
      <c r="B76" s="319" t="s">
        <v>726</v>
      </c>
      <c r="D76" s="43" t="s">
        <v>727</v>
      </c>
      <c r="L76" s="125"/>
      <c r="M76" s="45"/>
      <c r="N76" s="45"/>
      <c r="O76" s="339" t="s">
        <v>728</v>
      </c>
      <c r="P76" s="323" t="s">
        <v>219</v>
      </c>
      <c r="AJ76" s="46"/>
      <c r="AK76" s="47"/>
      <c r="AL76" s="55"/>
      <c r="AM76" s="55"/>
      <c r="AN76" s="383"/>
    </row>
    <row r="77" spans="1:40" ht="15" customHeight="1" x14ac:dyDescent="0.15">
      <c r="A77" s="96"/>
      <c r="B77" s="319" t="s">
        <v>729</v>
      </c>
      <c r="D77" s="43" t="s">
        <v>730</v>
      </c>
      <c r="L77" s="125"/>
      <c r="M77" s="45"/>
      <c r="N77" s="45"/>
      <c r="O77" s="339" t="s">
        <v>731</v>
      </c>
      <c r="P77" s="323" t="s">
        <v>219</v>
      </c>
      <c r="AJ77" s="46"/>
      <c r="AK77" s="47"/>
      <c r="AL77" s="55"/>
      <c r="AM77" s="55"/>
      <c r="AN77" s="383"/>
    </row>
    <row r="78" spans="1:40" ht="15" customHeight="1" x14ac:dyDescent="0.15">
      <c r="A78" s="96"/>
      <c r="B78" s="319" t="s">
        <v>732</v>
      </c>
      <c r="D78" s="43" t="s">
        <v>733</v>
      </c>
      <c r="L78" s="125"/>
      <c r="M78" s="45"/>
      <c r="N78" s="45"/>
      <c r="O78" s="339" t="s">
        <v>734</v>
      </c>
      <c r="P78" s="323" t="s">
        <v>219</v>
      </c>
      <c r="U78" s="121"/>
      <c r="AJ78" s="46"/>
      <c r="AK78" s="47"/>
      <c r="AL78" s="55"/>
      <c r="AM78" s="55"/>
      <c r="AN78" s="383"/>
    </row>
    <row r="79" spans="1:40" ht="15" customHeight="1" x14ac:dyDescent="0.15">
      <c r="A79" s="96"/>
      <c r="B79" s="319" t="s">
        <v>735</v>
      </c>
      <c r="D79" s="43" t="s">
        <v>736</v>
      </c>
      <c r="L79" s="125"/>
      <c r="M79" s="45"/>
      <c r="N79" s="45"/>
      <c r="O79" s="339" t="s">
        <v>737</v>
      </c>
      <c r="P79" s="323" t="s">
        <v>219</v>
      </c>
      <c r="U79" s="121"/>
      <c r="AJ79" s="46"/>
      <c r="AK79" s="47"/>
      <c r="AL79" s="55"/>
      <c r="AM79" s="55"/>
      <c r="AN79" s="383"/>
    </row>
    <row r="80" spans="1:40" ht="15" customHeight="1" x14ac:dyDescent="0.15">
      <c r="A80" s="96"/>
      <c r="B80" s="319" t="s">
        <v>738</v>
      </c>
      <c r="D80" s="43" t="s">
        <v>739</v>
      </c>
      <c r="L80" s="125"/>
      <c r="M80" s="45"/>
      <c r="N80" s="45"/>
      <c r="O80" s="339" t="s">
        <v>740</v>
      </c>
      <c r="P80" s="323" t="s">
        <v>219</v>
      </c>
      <c r="U80" s="121"/>
      <c r="AJ80" s="46"/>
      <c r="AK80" s="47"/>
      <c r="AL80" s="55"/>
      <c r="AM80" s="55"/>
      <c r="AN80" s="383"/>
    </row>
    <row r="81" spans="1:40" ht="15" customHeight="1" x14ac:dyDescent="0.15">
      <c r="A81" s="96"/>
      <c r="B81" s="319" t="s">
        <v>741</v>
      </c>
      <c r="D81" s="43" t="s">
        <v>742</v>
      </c>
      <c r="L81" s="125"/>
      <c r="M81" s="45"/>
      <c r="N81" s="45"/>
      <c r="O81" s="339" t="s">
        <v>743</v>
      </c>
      <c r="P81" s="323" t="s">
        <v>219</v>
      </c>
      <c r="U81" s="121"/>
      <c r="AJ81" s="46"/>
      <c r="AK81" s="47"/>
      <c r="AL81" s="383"/>
      <c r="AM81" s="383"/>
      <c r="AN81" s="383"/>
    </row>
    <row r="82" spans="1:40" ht="15" customHeight="1" x14ac:dyDescent="0.2">
      <c r="A82" s="96"/>
      <c r="B82" s="319" t="s">
        <v>744</v>
      </c>
      <c r="D82" s="43" t="s">
        <v>745</v>
      </c>
      <c r="M82" s="45"/>
      <c r="N82" s="45"/>
      <c r="O82" s="339" t="s">
        <v>746</v>
      </c>
      <c r="P82" s="323" t="s">
        <v>219</v>
      </c>
      <c r="U82" s="121"/>
      <c r="AJ82" s="46"/>
      <c r="AK82" s="47"/>
      <c r="AL82" s="383"/>
      <c r="AM82" s="383"/>
      <c r="AN82" s="383"/>
    </row>
    <row r="83" spans="1:40" ht="15" customHeight="1" x14ac:dyDescent="0.2">
      <c r="A83" s="96"/>
      <c r="B83" s="319" t="s">
        <v>747</v>
      </c>
      <c r="D83" s="43" t="s">
        <v>748</v>
      </c>
      <c r="M83" s="45"/>
      <c r="N83" s="45"/>
      <c r="O83" s="339" t="s">
        <v>749</v>
      </c>
      <c r="P83" s="323" t="s">
        <v>219</v>
      </c>
      <c r="U83" s="121"/>
      <c r="AJ83" s="46"/>
      <c r="AK83" s="47"/>
      <c r="AL83" s="383"/>
      <c r="AM83" s="383"/>
      <c r="AN83" s="383"/>
    </row>
    <row r="84" spans="1:40" ht="15" customHeight="1" x14ac:dyDescent="0.2">
      <c r="A84" s="96"/>
      <c r="B84" s="319" t="s">
        <v>750</v>
      </c>
      <c r="D84" s="43" t="s">
        <v>751</v>
      </c>
      <c r="M84" s="45"/>
      <c r="N84" s="45"/>
      <c r="O84" s="352" t="s">
        <v>752</v>
      </c>
      <c r="P84" s="326" t="s">
        <v>216</v>
      </c>
      <c r="Q84" s="353"/>
      <c r="U84" s="121"/>
      <c r="AJ84" s="46"/>
      <c r="AK84" s="47"/>
      <c r="AL84" s="55"/>
      <c r="AM84" s="55"/>
      <c r="AN84" s="55"/>
    </row>
    <row r="85" spans="1:40" ht="15" customHeight="1" x14ac:dyDescent="0.2">
      <c r="A85" s="96"/>
      <c r="B85" s="319" t="s">
        <v>753</v>
      </c>
      <c r="D85" s="43" t="s">
        <v>754</v>
      </c>
      <c r="M85" s="45"/>
      <c r="N85" s="45"/>
      <c r="O85" s="350" t="s">
        <v>755</v>
      </c>
      <c r="P85" s="323" t="s">
        <v>219</v>
      </c>
      <c r="Q85" s="353"/>
      <c r="U85" s="121"/>
      <c r="AJ85" s="46"/>
      <c r="AK85" s="47"/>
      <c r="AL85" s="55"/>
      <c r="AM85" s="55"/>
      <c r="AN85" s="383"/>
    </row>
    <row r="86" spans="1:40" ht="15" customHeight="1" x14ac:dyDescent="0.2">
      <c r="A86" s="96"/>
      <c r="B86" s="319" t="s">
        <v>756</v>
      </c>
      <c r="D86" s="43" t="s">
        <v>757</v>
      </c>
      <c r="M86" s="45"/>
      <c r="N86" s="45"/>
      <c r="O86" s="350" t="s">
        <v>758</v>
      </c>
      <c r="P86" s="323" t="s">
        <v>219</v>
      </c>
      <c r="Q86" s="353"/>
      <c r="U86" s="121"/>
      <c r="AJ86" s="46"/>
      <c r="AK86" s="47"/>
      <c r="AL86" s="55"/>
      <c r="AM86" s="55"/>
      <c r="AN86" s="383"/>
    </row>
    <row r="87" spans="1:40" ht="15" customHeight="1" thickBot="1" x14ac:dyDescent="0.25">
      <c r="A87" s="96"/>
      <c r="B87" s="319" t="s">
        <v>759</v>
      </c>
      <c r="D87" s="43" t="s">
        <v>760</v>
      </c>
      <c r="M87" s="45"/>
      <c r="N87" s="45"/>
      <c r="O87" s="351" t="s">
        <v>761</v>
      </c>
      <c r="P87" s="323"/>
      <c r="U87" s="121"/>
      <c r="AJ87" s="46"/>
      <c r="AK87" s="47"/>
      <c r="AL87" s="55"/>
      <c r="AM87" s="55"/>
      <c r="AN87" s="55"/>
    </row>
    <row r="88" spans="1:40" ht="15" customHeight="1" x14ac:dyDescent="0.2">
      <c r="A88" s="96"/>
      <c r="B88" s="319" t="s">
        <v>762</v>
      </c>
      <c r="D88" s="43" t="s">
        <v>763</v>
      </c>
      <c r="M88" s="45"/>
      <c r="N88" s="45"/>
      <c r="O88" s="337" t="s">
        <v>764</v>
      </c>
      <c r="P88" s="326" t="s">
        <v>216</v>
      </c>
      <c r="U88" s="121"/>
      <c r="AJ88" s="46"/>
      <c r="AK88" s="47"/>
      <c r="AL88" s="55"/>
      <c r="AM88" s="55"/>
      <c r="AN88" s="383"/>
    </row>
    <row r="89" spans="1:40" ht="15" customHeight="1" x14ac:dyDescent="0.2">
      <c r="A89" s="96"/>
      <c r="B89" s="319" t="s">
        <v>765</v>
      </c>
      <c r="D89" s="43" t="s">
        <v>766</v>
      </c>
      <c r="M89" s="45"/>
      <c r="N89" s="45"/>
      <c r="O89" s="344" t="s">
        <v>767</v>
      </c>
      <c r="P89" s="326" t="s">
        <v>216</v>
      </c>
      <c r="U89" s="121"/>
      <c r="AJ89" s="46"/>
      <c r="AK89" s="47"/>
      <c r="AL89" s="55"/>
      <c r="AM89" s="55"/>
      <c r="AN89" s="383"/>
    </row>
    <row r="90" spans="1:40" ht="15" customHeight="1" x14ac:dyDescent="0.2">
      <c r="A90" s="96"/>
      <c r="B90" s="319" t="s">
        <v>768</v>
      </c>
      <c r="D90" s="43" t="s">
        <v>769</v>
      </c>
      <c r="M90" s="45"/>
      <c r="N90" s="45"/>
      <c r="O90" s="338" t="s">
        <v>770</v>
      </c>
      <c r="P90" s="326" t="s">
        <v>216</v>
      </c>
      <c r="U90" s="121"/>
      <c r="AJ90" s="46"/>
      <c r="AK90" s="47"/>
      <c r="AL90" s="55"/>
      <c r="AM90" s="55"/>
      <c r="AN90" s="383"/>
    </row>
    <row r="91" spans="1:40" ht="15" customHeight="1" x14ac:dyDescent="0.2">
      <c r="A91" s="96"/>
      <c r="B91" s="319" t="s">
        <v>771</v>
      </c>
      <c r="D91" s="43" t="s">
        <v>772</v>
      </c>
      <c r="M91" s="45"/>
      <c r="N91" s="45"/>
      <c r="O91" s="338" t="s">
        <v>773</v>
      </c>
      <c r="P91" s="326" t="s">
        <v>216</v>
      </c>
      <c r="U91" s="121"/>
      <c r="AJ91" s="46"/>
      <c r="AK91" s="47"/>
      <c r="AL91" s="55"/>
      <c r="AM91" s="55"/>
      <c r="AN91" s="383"/>
    </row>
    <row r="92" spans="1:40" ht="15" customHeight="1" x14ac:dyDescent="0.2">
      <c r="A92" s="96"/>
      <c r="B92" s="319" t="s">
        <v>774</v>
      </c>
      <c r="D92" s="43" t="s">
        <v>775</v>
      </c>
      <c r="M92" s="45"/>
      <c r="N92" s="45"/>
      <c r="O92" s="344" t="s">
        <v>776</v>
      </c>
      <c r="P92" s="326" t="s">
        <v>216</v>
      </c>
      <c r="Q92" s="333"/>
      <c r="U92" s="121"/>
      <c r="AJ92" s="46"/>
      <c r="AK92" s="47"/>
      <c r="AL92" s="55"/>
      <c r="AM92" s="55"/>
      <c r="AN92" s="383"/>
    </row>
    <row r="93" spans="1:40" ht="15" customHeight="1" x14ac:dyDescent="0.2">
      <c r="A93" s="96"/>
      <c r="B93" s="319" t="s">
        <v>777</v>
      </c>
      <c r="D93" s="43" t="s">
        <v>778</v>
      </c>
      <c r="M93" s="45"/>
      <c r="N93" s="45"/>
      <c r="O93" s="339" t="s">
        <v>779</v>
      </c>
      <c r="P93" s="323" t="s">
        <v>219</v>
      </c>
      <c r="U93" s="121"/>
      <c r="AJ93" s="46"/>
      <c r="AK93" s="47"/>
      <c r="AL93" s="55"/>
      <c r="AM93" s="55"/>
      <c r="AN93" s="383"/>
    </row>
    <row r="94" spans="1:40" ht="15" customHeight="1" x14ac:dyDescent="0.2">
      <c r="A94" s="96"/>
      <c r="B94" s="319" t="s">
        <v>780</v>
      </c>
      <c r="D94" s="43" t="s">
        <v>781</v>
      </c>
      <c r="M94" s="45"/>
      <c r="N94" s="45"/>
      <c r="O94" s="339" t="s">
        <v>782</v>
      </c>
      <c r="P94" s="323" t="s">
        <v>219</v>
      </c>
      <c r="AJ94" s="46"/>
      <c r="AK94" s="47"/>
      <c r="AL94" s="55"/>
      <c r="AM94" s="55"/>
      <c r="AN94" s="383"/>
    </row>
    <row r="95" spans="1:40" ht="15" customHeight="1" x14ac:dyDescent="0.2">
      <c r="A95" s="96"/>
      <c r="B95" s="319" t="s">
        <v>783</v>
      </c>
      <c r="D95" s="43" t="s">
        <v>784</v>
      </c>
      <c r="M95" s="45"/>
      <c r="N95" s="45"/>
      <c r="O95" s="339" t="s">
        <v>785</v>
      </c>
      <c r="P95" s="323" t="s">
        <v>219</v>
      </c>
      <c r="AJ95" s="46"/>
      <c r="AK95" s="47"/>
      <c r="AL95" s="55"/>
      <c r="AM95" s="55"/>
      <c r="AN95" s="383"/>
    </row>
    <row r="96" spans="1:40" ht="15" customHeight="1" x14ac:dyDescent="0.2">
      <c r="A96" s="96"/>
      <c r="B96" s="319" t="s">
        <v>786</v>
      </c>
      <c r="D96" s="43" t="s">
        <v>787</v>
      </c>
      <c r="M96" s="45"/>
      <c r="N96" s="45"/>
      <c r="O96" s="339" t="s">
        <v>788</v>
      </c>
      <c r="P96" s="323" t="s">
        <v>219</v>
      </c>
      <c r="AJ96" s="46"/>
      <c r="AK96" s="47"/>
      <c r="AL96" s="55"/>
      <c r="AM96" s="55"/>
      <c r="AN96" s="383"/>
    </row>
    <row r="97" spans="1:40" ht="15" customHeight="1" x14ac:dyDescent="0.2">
      <c r="A97" s="96"/>
      <c r="B97" s="319" t="s">
        <v>789</v>
      </c>
      <c r="D97" s="43" t="s">
        <v>790</v>
      </c>
      <c r="M97" s="45"/>
      <c r="N97" s="45"/>
      <c r="O97" s="339" t="s">
        <v>791</v>
      </c>
      <c r="P97" s="323" t="s">
        <v>219</v>
      </c>
      <c r="AJ97" s="46"/>
      <c r="AK97" s="47"/>
      <c r="AL97" s="383"/>
      <c r="AM97" s="383"/>
      <c r="AN97" s="383"/>
    </row>
    <row r="98" spans="1:40" ht="15" customHeight="1" x14ac:dyDescent="0.2">
      <c r="A98" s="96"/>
      <c r="B98" s="319" t="s">
        <v>792</v>
      </c>
      <c r="D98" s="43" t="s">
        <v>793</v>
      </c>
      <c r="M98" s="45"/>
      <c r="N98" s="45"/>
      <c r="O98" s="339" t="s">
        <v>794</v>
      </c>
      <c r="P98" s="323" t="s">
        <v>219</v>
      </c>
      <c r="AJ98" s="46"/>
      <c r="AK98" s="47"/>
      <c r="AL98" s="383"/>
      <c r="AM98" s="383"/>
      <c r="AN98" s="383"/>
    </row>
    <row r="99" spans="1:40" ht="15" customHeight="1" x14ac:dyDescent="0.2">
      <c r="A99" s="96"/>
      <c r="B99" s="319" t="s">
        <v>795</v>
      </c>
      <c r="D99" s="43" t="s">
        <v>796</v>
      </c>
      <c r="M99" s="45"/>
      <c r="N99" s="45"/>
      <c r="O99" s="339" t="s">
        <v>797</v>
      </c>
      <c r="P99" s="323" t="s">
        <v>219</v>
      </c>
      <c r="AJ99" s="46"/>
      <c r="AK99" s="47"/>
      <c r="AL99" s="383"/>
      <c r="AM99" s="383"/>
      <c r="AN99" s="383"/>
    </row>
    <row r="100" spans="1:40" ht="15" customHeight="1" x14ac:dyDescent="0.2">
      <c r="A100" s="96"/>
      <c r="B100" s="319" t="s">
        <v>798</v>
      </c>
      <c r="D100" s="43" t="s">
        <v>799</v>
      </c>
      <c r="M100" s="45"/>
      <c r="N100" s="45"/>
      <c r="O100" s="339" t="s">
        <v>800</v>
      </c>
      <c r="P100" s="323" t="s">
        <v>219</v>
      </c>
      <c r="AJ100" s="46"/>
      <c r="AK100" s="47"/>
      <c r="AL100" s="383"/>
      <c r="AM100" s="383"/>
      <c r="AN100" s="383"/>
    </row>
    <row r="101" spans="1:40" ht="15" customHeight="1" x14ac:dyDescent="0.2">
      <c r="A101" s="96"/>
      <c r="B101" s="319" t="s">
        <v>801</v>
      </c>
      <c r="D101" s="43" t="s">
        <v>802</v>
      </c>
      <c r="M101" s="52"/>
      <c r="N101" s="45"/>
      <c r="O101" s="339" t="s">
        <v>803</v>
      </c>
      <c r="P101" s="323" t="s">
        <v>219</v>
      </c>
      <c r="AJ101" s="46"/>
      <c r="AK101" s="47"/>
      <c r="AL101" s="383"/>
      <c r="AM101" s="383"/>
      <c r="AN101" s="383"/>
    </row>
    <row r="102" spans="1:40" ht="15" customHeight="1" x14ac:dyDescent="0.2">
      <c r="A102" s="96"/>
      <c r="B102" s="319" t="s">
        <v>804</v>
      </c>
      <c r="D102" s="43" t="s">
        <v>805</v>
      </c>
      <c r="M102" s="52"/>
      <c r="N102" s="45"/>
      <c r="O102" s="339" t="s">
        <v>806</v>
      </c>
      <c r="P102" s="323" t="s">
        <v>219</v>
      </c>
      <c r="AJ102" s="46"/>
      <c r="AK102" s="47"/>
      <c r="AL102" s="383"/>
      <c r="AM102" s="383"/>
      <c r="AN102" s="383"/>
    </row>
    <row r="103" spans="1:40" ht="15" customHeight="1" x14ac:dyDescent="0.2">
      <c r="A103" s="96"/>
      <c r="B103" s="319" t="s">
        <v>807</v>
      </c>
      <c r="D103" s="43" t="s">
        <v>808</v>
      </c>
      <c r="M103" s="52"/>
      <c r="N103" s="45"/>
      <c r="O103" s="339" t="s">
        <v>809</v>
      </c>
      <c r="P103" s="323" t="s">
        <v>219</v>
      </c>
      <c r="AJ103" s="46"/>
      <c r="AK103" s="47"/>
      <c r="AL103" s="383"/>
      <c r="AM103" s="383"/>
      <c r="AN103" s="383"/>
    </row>
    <row r="104" spans="1:40" ht="15" customHeight="1" x14ac:dyDescent="0.2">
      <c r="A104" s="96"/>
      <c r="B104" s="319" t="s">
        <v>810</v>
      </c>
      <c r="D104" s="43" t="s">
        <v>811</v>
      </c>
      <c r="M104" s="52"/>
      <c r="N104" s="45"/>
      <c r="O104" s="339" t="s">
        <v>812</v>
      </c>
      <c r="P104" s="323" t="s">
        <v>219</v>
      </c>
      <c r="AJ104" s="46"/>
      <c r="AK104" s="47"/>
      <c r="AL104" s="383"/>
      <c r="AM104" s="383"/>
      <c r="AN104" s="383"/>
    </row>
    <row r="105" spans="1:40" ht="15" customHeight="1" x14ac:dyDescent="0.2">
      <c r="A105" s="96"/>
      <c r="B105" s="319" t="s">
        <v>813</v>
      </c>
      <c r="D105" s="43" t="s">
        <v>814</v>
      </c>
      <c r="M105" s="45"/>
      <c r="N105" s="45"/>
      <c r="O105" s="339" t="s">
        <v>815</v>
      </c>
      <c r="P105" s="323" t="s">
        <v>219</v>
      </c>
      <c r="AJ105" s="46"/>
      <c r="AK105" s="47"/>
      <c r="AL105" s="383"/>
      <c r="AM105" s="383"/>
      <c r="AN105" s="383"/>
    </row>
    <row r="106" spans="1:40" ht="15" customHeight="1" x14ac:dyDescent="0.2">
      <c r="A106" s="96"/>
      <c r="B106" s="319" t="s">
        <v>816</v>
      </c>
      <c r="D106" s="43" t="s">
        <v>817</v>
      </c>
      <c r="M106" s="45"/>
      <c r="N106" s="45"/>
      <c r="O106" s="339" t="s">
        <v>818</v>
      </c>
      <c r="P106" s="323" t="s">
        <v>219</v>
      </c>
      <c r="AJ106" s="46"/>
      <c r="AK106" s="47"/>
      <c r="AL106" s="383"/>
      <c r="AM106" s="383"/>
      <c r="AN106" s="383"/>
    </row>
    <row r="107" spans="1:40" ht="15" customHeight="1" x14ac:dyDescent="0.2">
      <c r="A107" s="96"/>
      <c r="B107" s="319" t="s">
        <v>819</v>
      </c>
      <c r="D107" s="43" t="s">
        <v>820</v>
      </c>
      <c r="M107" s="45"/>
      <c r="N107" s="45"/>
      <c r="O107" s="339" t="s">
        <v>821</v>
      </c>
      <c r="P107" s="323" t="s">
        <v>219</v>
      </c>
      <c r="AJ107" s="46"/>
      <c r="AK107" s="47"/>
      <c r="AL107" s="383"/>
      <c r="AM107" s="383"/>
      <c r="AN107" s="383"/>
    </row>
    <row r="108" spans="1:40" ht="15" customHeight="1" x14ac:dyDescent="0.2">
      <c r="A108" s="96"/>
      <c r="B108" s="319" t="s">
        <v>822</v>
      </c>
      <c r="D108" s="43" t="s">
        <v>823</v>
      </c>
      <c r="M108" s="45"/>
      <c r="N108" s="45"/>
      <c r="O108" s="339" t="s">
        <v>824</v>
      </c>
      <c r="P108" s="323" t="s">
        <v>219</v>
      </c>
      <c r="AJ108" s="46"/>
      <c r="AK108" s="47"/>
      <c r="AL108" s="383"/>
      <c r="AM108" s="383"/>
      <c r="AN108" s="383"/>
    </row>
    <row r="109" spans="1:40" ht="15" customHeight="1" x14ac:dyDescent="0.2">
      <c r="A109" s="96"/>
      <c r="B109" s="319" t="s">
        <v>825</v>
      </c>
      <c r="D109" s="43" t="s">
        <v>826</v>
      </c>
      <c r="M109" s="45"/>
      <c r="N109" s="45"/>
      <c r="O109" s="339" t="s">
        <v>827</v>
      </c>
      <c r="P109" s="323" t="s">
        <v>219</v>
      </c>
      <c r="AJ109" s="46"/>
      <c r="AK109" s="47"/>
      <c r="AL109" s="383"/>
      <c r="AM109" s="383"/>
      <c r="AN109" s="383"/>
    </row>
    <row r="110" spans="1:40" ht="15" customHeight="1" thickBot="1" x14ac:dyDescent="0.25">
      <c r="A110" s="96"/>
      <c r="B110" s="319" t="s">
        <v>25</v>
      </c>
      <c r="D110" s="43" t="s">
        <v>828</v>
      </c>
      <c r="M110" s="45"/>
      <c r="N110" s="45"/>
      <c r="O110" s="340" t="s">
        <v>829</v>
      </c>
      <c r="P110" s="323" t="s">
        <v>219</v>
      </c>
      <c r="AJ110" s="46"/>
      <c r="AK110" s="47"/>
      <c r="AL110" s="383"/>
      <c r="AM110" s="383"/>
      <c r="AN110" s="383"/>
    </row>
    <row r="111" spans="1:40" ht="15" customHeight="1" thickBot="1" x14ac:dyDescent="0.25">
      <c r="A111" s="96"/>
      <c r="B111" s="319" t="s">
        <v>830</v>
      </c>
      <c r="D111" s="43" t="s">
        <v>831</v>
      </c>
      <c r="M111" s="45"/>
      <c r="N111" s="45"/>
      <c r="O111" s="341" t="s">
        <v>832</v>
      </c>
      <c r="P111" s="323"/>
      <c r="AJ111" s="46"/>
      <c r="AK111" s="47"/>
      <c r="AL111" s="383"/>
      <c r="AM111" s="383"/>
      <c r="AN111" s="383"/>
    </row>
    <row r="112" spans="1:40" ht="15" customHeight="1" x14ac:dyDescent="0.2">
      <c r="A112" s="96"/>
      <c r="B112" s="319" t="s">
        <v>833</v>
      </c>
      <c r="D112" s="43" t="s">
        <v>834</v>
      </c>
      <c r="M112" s="45"/>
      <c r="N112" s="45"/>
      <c r="O112" s="337" t="s">
        <v>835</v>
      </c>
      <c r="P112" s="326" t="s">
        <v>216</v>
      </c>
      <c r="AJ112" s="46"/>
      <c r="AK112" s="47"/>
      <c r="AL112" s="383"/>
      <c r="AM112" s="383"/>
      <c r="AN112" s="383"/>
    </row>
    <row r="113" spans="1:40" ht="15" customHeight="1" x14ac:dyDescent="0.2">
      <c r="A113" s="96"/>
      <c r="B113" s="319" t="s">
        <v>836</v>
      </c>
      <c r="D113" s="43" t="s">
        <v>837</v>
      </c>
      <c r="M113" s="45"/>
      <c r="N113" s="45"/>
      <c r="O113" s="338" t="s">
        <v>838</v>
      </c>
      <c r="P113" s="326" t="s">
        <v>216</v>
      </c>
      <c r="AJ113" s="46"/>
      <c r="AK113" s="47"/>
      <c r="AL113" s="383"/>
      <c r="AM113" s="383"/>
      <c r="AN113" s="383"/>
    </row>
    <row r="114" spans="1:40" ht="15" customHeight="1" x14ac:dyDescent="0.2">
      <c r="A114" s="96"/>
      <c r="B114" s="319" t="s">
        <v>839</v>
      </c>
      <c r="D114" s="43" t="s">
        <v>840</v>
      </c>
      <c r="M114" s="45"/>
      <c r="N114" s="45"/>
      <c r="O114" s="339" t="s">
        <v>841</v>
      </c>
      <c r="P114" s="323" t="s">
        <v>219</v>
      </c>
      <c r="AJ114" s="46"/>
      <c r="AK114" s="47"/>
      <c r="AL114" s="383"/>
      <c r="AM114" s="383"/>
      <c r="AN114" s="383"/>
    </row>
    <row r="115" spans="1:40" ht="15" customHeight="1" x14ac:dyDescent="0.2">
      <c r="A115" s="96"/>
      <c r="B115" s="319" t="s">
        <v>842</v>
      </c>
      <c r="D115" s="43" t="s">
        <v>843</v>
      </c>
      <c r="M115" s="45"/>
      <c r="N115" s="45"/>
      <c r="O115" s="339" t="s">
        <v>844</v>
      </c>
      <c r="P115" s="323" t="s">
        <v>219</v>
      </c>
      <c r="AJ115" s="46"/>
      <c r="AK115" s="47"/>
      <c r="AL115" s="383"/>
      <c r="AM115" s="383"/>
      <c r="AN115" s="383"/>
    </row>
    <row r="116" spans="1:40" ht="15" customHeight="1" x14ac:dyDescent="0.2">
      <c r="A116" s="96"/>
      <c r="B116" s="319" t="s">
        <v>845</v>
      </c>
      <c r="D116" s="43" t="s">
        <v>846</v>
      </c>
      <c r="M116" s="45"/>
      <c r="N116" s="45"/>
      <c r="O116" s="339" t="s">
        <v>847</v>
      </c>
      <c r="P116" s="323" t="s">
        <v>219</v>
      </c>
      <c r="AJ116" s="46"/>
      <c r="AK116" s="47"/>
      <c r="AL116" s="383"/>
      <c r="AM116" s="383"/>
      <c r="AN116" s="383"/>
    </row>
    <row r="117" spans="1:40" ht="15" customHeight="1" x14ac:dyDescent="0.2">
      <c r="A117" s="96"/>
      <c r="B117" s="319" t="s">
        <v>848</v>
      </c>
      <c r="D117" s="43" t="s">
        <v>849</v>
      </c>
      <c r="M117" s="45"/>
      <c r="N117" s="45"/>
      <c r="O117" s="339" t="s">
        <v>764</v>
      </c>
      <c r="P117" s="323" t="s">
        <v>219</v>
      </c>
      <c r="AJ117" s="46"/>
      <c r="AK117" s="47"/>
      <c r="AL117" s="383"/>
      <c r="AM117" s="383"/>
      <c r="AN117" s="383"/>
    </row>
    <row r="118" spans="1:40" ht="15" customHeight="1" x14ac:dyDescent="0.2">
      <c r="A118" s="96"/>
      <c r="B118" s="319" t="s">
        <v>850</v>
      </c>
      <c r="D118" s="43" t="s">
        <v>851</v>
      </c>
      <c r="M118" s="45"/>
      <c r="N118" s="45"/>
      <c r="O118" s="339" t="s">
        <v>852</v>
      </c>
      <c r="P118" s="323" t="s">
        <v>219</v>
      </c>
      <c r="AJ118" s="46"/>
      <c r="AK118" s="47"/>
      <c r="AL118" s="383"/>
      <c r="AM118" s="383"/>
      <c r="AN118" s="383"/>
    </row>
    <row r="119" spans="1:40" ht="15" customHeight="1" x14ac:dyDescent="0.2">
      <c r="A119" s="96"/>
      <c r="B119" s="319" t="s">
        <v>853</v>
      </c>
      <c r="D119" s="43" t="s">
        <v>854</v>
      </c>
      <c r="M119" s="45"/>
      <c r="N119" s="45"/>
      <c r="O119" s="339" t="s">
        <v>855</v>
      </c>
      <c r="P119" s="323" t="s">
        <v>219</v>
      </c>
      <c r="AJ119" s="46"/>
      <c r="AK119" s="47"/>
      <c r="AL119" s="383"/>
      <c r="AM119" s="383"/>
      <c r="AN119" s="383"/>
    </row>
    <row r="120" spans="1:40" ht="15" customHeight="1" x14ac:dyDescent="0.2">
      <c r="A120" s="96"/>
      <c r="B120" s="319" t="s">
        <v>856</v>
      </c>
      <c r="D120" s="43" t="s">
        <v>857</v>
      </c>
      <c r="M120" s="45"/>
      <c r="N120" s="45"/>
      <c r="O120" s="339" t="s">
        <v>767</v>
      </c>
      <c r="P120" s="323" t="s">
        <v>219</v>
      </c>
      <c r="Q120" s="333"/>
      <c r="AJ120" s="46"/>
      <c r="AK120" s="47"/>
      <c r="AL120" s="383"/>
      <c r="AM120" s="383"/>
      <c r="AN120" s="383"/>
    </row>
    <row r="121" spans="1:40" ht="15" customHeight="1" x14ac:dyDescent="0.2">
      <c r="A121" s="96"/>
      <c r="B121" s="319" t="s">
        <v>858</v>
      </c>
      <c r="D121" s="43" t="s">
        <v>859</v>
      </c>
      <c r="M121" s="45"/>
      <c r="N121" s="45"/>
      <c r="O121" s="339" t="s">
        <v>860</v>
      </c>
      <c r="P121" s="323" t="s">
        <v>219</v>
      </c>
      <c r="AJ121" s="46"/>
      <c r="AK121" s="47"/>
      <c r="AL121" s="383"/>
      <c r="AM121" s="383"/>
      <c r="AN121" s="383"/>
    </row>
    <row r="122" spans="1:40" ht="15" customHeight="1" x14ac:dyDescent="0.2">
      <c r="A122" s="96"/>
      <c r="B122" s="319" t="s">
        <v>861</v>
      </c>
      <c r="D122" s="43" t="s">
        <v>862</v>
      </c>
      <c r="M122" s="45"/>
      <c r="N122" s="45"/>
      <c r="O122" s="339" t="s">
        <v>863</v>
      </c>
      <c r="P122" s="323" t="s">
        <v>219</v>
      </c>
      <c r="AJ122" s="46"/>
      <c r="AK122" s="47"/>
      <c r="AL122" s="383"/>
      <c r="AM122" s="383"/>
      <c r="AN122" s="383"/>
    </row>
    <row r="123" spans="1:40" ht="15" customHeight="1" x14ac:dyDescent="0.2">
      <c r="A123" s="96"/>
      <c r="B123" s="319" t="s">
        <v>864</v>
      </c>
      <c r="D123" s="43" t="s">
        <v>865</v>
      </c>
      <c r="M123" s="45"/>
      <c r="N123" s="45"/>
      <c r="O123" s="339" t="s">
        <v>866</v>
      </c>
      <c r="P123" s="323" t="s">
        <v>219</v>
      </c>
      <c r="AJ123" s="46"/>
      <c r="AK123" s="47"/>
      <c r="AL123" s="383"/>
      <c r="AM123" s="383"/>
      <c r="AN123" s="383"/>
    </row>
    <row r="124" spans="1:40" ht="15" customHeight="1" x14ac:dyDescent="0.2">
      <c r="A124" s="96"/>
      <c r="B124" s="319" t="s">
        <v>867</v>
      </c>
      <c r="D124" s="43" t="s">
        <v>868</v>
      </c>
      <c r="M124" s="45"/>
      <c r="N124" s="45"/>
      <c r="O124" s="339" t="s">
        <v>869</v>
      </c>
      <c r="P124" s="323" t="s">
        <v>219</v>
      </c>
      <c r="AJ124" s="46"/>
      <c r="AK124" s="47"/>
      <c r="AL124" s="383"/>
      <c r="AM124" s="383"/>
      <c r="AN124" s="383"/>
    </row>
    <row r="125" spans="1:40" ht="15" customHeight="1" x14ac:dyDescent="0.2">
      <c r="A125" s="96"/>
      <c r="B125" s="319" t="s">
        <v>870</v>
      </c>
      <c r="D125" s="43" t="s">
        <v>871</v>
      </c>
      <c r="M125" s="45"/>
      <c r="N125" s="45"/>
      <c r="O125" s="339" t="s">
        <v>872</v>
      </c>
      <c r="P125" s="323" t="s">
        <v>219</v>
      </c>
      <c r="AJ125" s="46"/>
      <c r="AK125" s="47"/>
      <c r="AL125" s="383"/>
      <c r="AM125" s="383"/>
      <c r="AN125" s="383"/>
    </row>
    <row r="126" spans="1:40" ht="15" customHeight="1" x14ac:dyDescent="0.2">
      <c r="A126" s="96"/>
      <c r="B126" s="319" t="s">
        <v>873</v>
      </c>
      <c r="D126" s="43" t="s">
        <v>874</v>
      </c>
      <c r="M126" s="45"/>
      <c r="N126" s="45"/>
      <c r="O126" s="339" t="s">
        <v>875</v>
      </c>
      <c r="P126" s="323" t="s">
        <v>219</v>
      </c>
      <c r="AJ126" s="46"/>
      <c r="AK126" s="47"/>
      <c r="AL126" s="383"/>
      <c r="AM126" s="383"/>
      <c r="AN126" s="383"/>
    </row>
    <row r="127" spans="1:40" ht="15" customHeight="1" x14ac:dyDescent="0.2">
      <c r="A127" s="96"/>
      <c r="B127" s="319" t="s">
        <v>876</v>
      </c>
      <c r="D127" s="43" t="s">
        <v>877</v>
      </c>
      <c r="M127" s="45"/>
      <c r="N127" s="45"/>
      <c r="O127" s="339" t="s">
        <v>878</v>
      </c>
      <c r="P127" s="323" t="s">
        <v>219</v>
      </c>
      <c r="AJ127" s="46"/>
      <c r="AK127" s="47"/>
      <c r="AL127" s="383"/>
      <c r="AM127" s="383"/>
      <c r="AN127" s="383"/>
    </row>
    <row r="128" spans="1:40" ht="15" customHeight="1" x14ac:dyDescent="0.2">
      <c r="A128" s="96"/>
      <c r="B128" s="319" t="s">
        <v>879</v>
      </c>
      <c r="D128" s="43" t="s">
        <v>880</v>
      </c>
      <c r="M128" s="45"/>
      <c r="N128" s="45"/>
      <c r="O128" s="339" t="s">
        <v>881</v>
      </c>
      <c r="P128" s="323" t="s">
        <v>219</v>
      </c>
      <c r="AJ128" s="46"/>
      <c r="AK128" s="47"/>
      <c r="AL128" s="383"/>
      <c r="AM128" s="383"/>
      <c r="AN128" s="383"/>
    </row>
    <row r="129" spans="1:40" ht="15" customHeight="1" x14ac:dyDescent="0.2">
      <c r="A129" s="96"/>
      <c r="B129" s="319" t="s">
        <v>882</v>
      </c>
      <c r="D129" s="43" t="s">
        <v>883</v>
      </c>
      <c r="M129" s="45"/>
      <c r="N129" s="45"/>
      <c r="O129" s="339" t="s">
        <v>884</v>
      </c>
      <c r="P129" s="323" t="s">
        <v>219</v>
      </c>
      <c r="AJ129" s="46"/>
      <c r="AK129" s="47"/>
      <c r="AL129" s="383"/>
      <c r="AM129" s="383"/>
      <c r="AN129" s="383"/>
    </row>
    <row r="130" spans="1:40" ht="15" customHeight="1" x14ac:dyDescent="0.2">
      <c r="A130" s="96"/>
      <c r="B130" s="319" t="s">
        <v>885</v>
      </c>
      <c r="D130" s="43" t="s">
        <v>886</v>
      </c>
      <c r="M130" s="45"/>
      <c r="N130" s="45"/>
      <c r="O130" s="339" t="s">
        <v>887</v>
      </c>
      <c r="P130" s="323" t="s">
        <v>219</v>
      </c>
      <c r="AJ130" s="46"/>
      <c r="AK130" s="47"/>
      <c r="AL130" s="383"/>
      <c r="AM130" s="383"/>
      <c r="AN130" s="383"/>
    </row>
    <row r="131" spans="1:40" ht="15" customHeight="1" x14ac:dyDescent="0.2">
      <c r="A131" s="96"/>
      <c r="B131" s="319" t="s">
        <v>888</v>
      </c>
      <c r="D131" s="43" t="s">
        <v>889</v>
      </c>
      <c r="M131" s="45"/>
      <c r="N131" s="45"/>
      <c r="O131" s="339" t="s">
        <v>890</v>
      </c>
      <c r="P131" s="323" t="s">
        <v>219</v>
      </c>
      <c r="AJ131" s="46"/>
      <c r="AK131" s="47"/>
      <c r="AL131" s="383"/>
      <c r="AM131" s="383"/>
      <c r="AN131" s="383"/>
    </row>
    <row r="132" spans="1:40" ht="15" customHeight="1" thickBot="1" x14ac:dyDescent="0.25">
      <c r="A132" s="96"/>
      <c r="B132" s="319" t="s">
        <v>891</v>
      </c>
      <c r="D132" s="43" t="s">
        <v>892</v>
      </c>
      <c r="M132" s="45"/>
      <c r="N132" s="45"/>
      <c r="O132" s="340" t="s">
        <v>893</v>
      </c>
      <c r="P132" s="323" t="s">
        <v>219</v>
      </c>
      <c r="AJ132" s="46"/>
      <c r="AK132" s="47"/>
      <c r="AL132" s="383"/>
      <c r="AM132" s="383"/>
      <c r="AN132" s="383"/>
    </row>
    <row r="133" spans="1:40" ht="15" customHeight="1" thickBot="1" x14ac:dyDescent="0.25">
      <c r="A133" s="96"/>
      <c r="B133" s="319" t="s">
        <v>894</v>
      </c>
      <c r="D133" s="43" t="s">
        <v>895</v>
      </c>
      <c r="M133" s="45"/>
      <c r="N133" s="45"/>
      <c r="O133" s="341" t="s">
        <v>896</v>
      </c>
      <c r="P133" s="323"/>
      <c r="AJ133" s="46"/>
      <c r="AK133" s="47"/>
      <c r="AL133" s="383"/>
      <c r="AM133" s="383"/>
      <c r="AN133" s="383"/>
    </row>
    <row r="134" spans="1:40" ht="15" customHeight="1" x14ac:dyDescent="0.2">
      <c r="A134" s="96"/>
      <c r="B134" s="319" t="s">
        <v>897</v>
      </c>
      <c r="D134" s="43" t="s">
        <v>898</v>
      </c>
      <c r="M134" s="45"/>
      <c r="N134" s="45"/>
      <c r="O134" s="337" t="s">
        <v>899</v>
      </c>
      <c r="P134" s="326" t="s">
        <v>216</v>
      </c>
      <c r="AJ134" s="46"/>
      <c r="AK134" s="47"/>
      <c r="AL134" s="383"/>
      <c r="AM134" s="383"/>
      <c r="AN134" s="383"/>
    </row>
    <row r="135" spans="1:40" ht="15" customHeight="1" x14ac:dyDescent="0.2">
      <c r="A135" s="96"/>
      <c r="B135" s="319" t="s">
        <v>900</v>
      </c>
      <c r="D135" s="43" t="s">
        <v>901</v>
      </c>
      <c r="M135" s="45"/>
      <c r="N135" s="45"/>
      <c r="O135" s="339" t="s">
        <v>902</v>
      </c>
      <c r="P135" s="323" t="s">
        <v>219</v>
      </c>
      <c r="AJ135" s="46"/>
      <c r="AK135" s="47"/>
      <c r="AL135" s="383"/>
      <c r="AM135" s="383"/>
      <c r="AN135" s="383"/>
    </row>
    <row r="136" spans="1:40" ht="15" customHeight="1" x14ac:dyDescent="0.2">
      <c r="B136" s="324"/>
      <c r="D136" s="43" t="s">
        <v>903</v>
      </c>
      <c r="M136" s="45"/>
      <c r="N136" s="45"/>
      <c r="O136" s="339" t="s">
        <v>904</v>
      </c>
      <c r="P136" s="323" t="s">
        <v>219</v>
      </c>
      <c r="AJ136" s="46"/>
      <c r="AK136" s="47"/>
      <c r="AL136" s="383"/>
      <c r="AM136" s="383"/>
      <c r="AN136" s="383"/>
    </row>
    <row r="137" spans="1:40" ht="15" customHeight="1" x14ac:dyDescent="0.2">
      <c r="A137" s="96"/>
      <c r="B137" s="319"/>
      <c r="D137" s="43" t="s">
        <v>905</v>
      </c>
      <c r="M137" s="45"/>
      <c r="N137" s="45"/>
      <c r="O137" s="339" t="s">
        <v>906</v>
      </c>
      <c r="P137" s="323" t="s">
        <v>219</v>
      </c>
      <c r="AJ137" s="46"/>
      <c r="AK137" s="47"/>
      <c r="AL137" s="383"/>
      <c r="AM137" s="383"/>
      <c r="AN137" s="383"/>
    </row>
    <row r="138" spans="1:40" ht="15" customHeight="1" x14ac:dyDescent="0.2">
      <c r="A138" s="96"/>
      <c r="B138" s="50" t="s">
        <v>295</v>
      </c>
      <c r="D138" s="43" t="s">
        <v>907</v>
      </c>
      <c r="M138" s="45"/>
      <c r="N138" s="45"/>
      <c r="O138" s="339" t="s">
        <v>908</v>
      </c>
      <c r="P138" s="323" t="s">
        <v>219</v>
      </c>
      <c r="AJ138" s="46"/>
      <c r="AK138" s="47"/>
      <c r="AL138" s="383"/>
      <c r="AM138" s="383"/>
      <c r="AN138" s="383"/>
    </row>
    <row r="139" spans="1:40" ht="15" customHeight="1" x14ac:dyDescent="0.2">
      <c r="A139" s="96"/>
      <c r="B139" s="97"/>
      <c r="D139" s="43" t="s">
        <v>909</v>
      </c>
      <c r="M139" s="45"/>
      <c r="N139" s="45"/>
      <c r="O139" s="339" t="s">
        <v>910</v>
      </c>
      <c r="P139" s="323" t="s">
        <v>219</v>
      </c>
      <c r="AJ139" s="46"/>
      <c r="AK139" s="47"/>
      <c r="AL139" s="383"/>
      <c r="AM139" s="383"/>
      <c r="AN139" s="383"/>
    </row>
    <row r="140" spans="1:40" ht="15" customHeight="1" x14ac:dyDescent="0.2">
      <c r="A140" s="96"/>
      <c r="B140" s="97"/>
      <c r="D140" s="43" t="s">
        <v>911</v>
      </c>
      <c r="M140" s="45"/>
      <c r="N140" s="45"/>
      <c r="O140" s="339" t="s">
        <v>912</v>
      </c>
      <c r="P140" s="323" t="s">
        <v>219</v>
      </c>
      <c r="AJ140" s="46"/>
      <c r="AK140" s="47"/>
      <c r="AL140" s="383"/>
      <c r="AM140" s="383"/>
      <c r="AN140" s="383"/>
    </row>
    <row r="141" spans="1:40" ht="15" customHeight="1" x14ac:dyDescent="0.2">
      <c r="A141" s="96"/>
      <c r="D141" s="43" t="s">
        <v>913</v>
      </c>
      <c r="M141" s="45"/>
      <c r="N141" s="45"/>
      <c r="O141" s="339" t="s">
        <v>914</v>
      </c>
      <c r="P141" s="323" t="s">
        <v>219</v>
      </c>
      <c r="AJ141" s="46"/>
      <c r="AK141" s="47"/>
      <c r="AL141" s="383"/>
      <c r="AM141" s="383"/>
      <c r="AN141" s="383"/>
    </row>
    <row r="142" spans="1:40" ht="15" customHeight="1" x14ac:dyDescent="0.2">
      <c r="A142" s="96"/>
      <c r="B142" s="97"/>
      <c r="D142" s="43" t="s">
        <v>915</v>
      </c>
      <c r="M142" s="45"/>
      <c r="N142" s="45"/>
      <c r="O142" s="339" t="s">
        <v>916</v>
      </c>
      <c r="P142" s="323" t="s">
        <v>219</v>
      </c>
      <c r="AJ142" s="46"/>
      <c r="AK142" s="47"/>
      <c r="AL142" s="383"/>
      <c r="AM142" s="383"/>
      <c r="AN142" s="383"/>
    </row>
    <row r="143" spans="1:40" ht="15" customHeight="1" x14ac:dyDescent="0.2">
      <c r="A143" s="96"/>
      <c r="B143" s="97"/>
      <c r="D143" s="43" t="s">
        <v>917</v>
      </c>
      <c r="M143" s="45"/>
      <c r="N143" s="45"/>
      <c r="O143" s="339" t="s">
        <v>918</v>
      </c>
      <c r="P143" s="323" t="s">
        <v>219</v>
      </c>
      <c r="AJ143" s="46"/>
      <c r="AK143" s="47"/>
      <c r="AL143" s="383"/>
      <c r="AM143" s="383"/>
      <c r="AN143" s="383"/>
    </row>
    <row r="144" spans="1:40" ht="15" customHeight="1" x14ac:dyDescent="0.2">
      <c r="A144" s="96"/>
      <c r="B144" s="97"/>
      <c r="D144" s="43" t="s">
        <v>919</v>
      </c>
      <c r="M144" s="45"/>
      <c r="N144" s="45"/>
      <c r="O144" s="339" t="s">
        <v>920</v>
      </c>
      <c r="P144" s="323" t="s">
        <v>219</v>
      </c>
      <c r="AJ144" s="46"/>
      <c r="AK144" s="47"/>
      <c r="AL144" s="383"/>
      <c r="AM144" s="383"/>
      <c r="AN144" s="383"/>
    </row>
    <row r="145" spans="1:40" ht="15" customHeight="1" x14ac:dyDescent="0.2">
      <c r="A145" s="96"/>
      <c r="D145" s="43" t="s">
        <v>921</v>
      </c>
      <c r="M145" s="45"/>
      <c r="N145" s="45"/>
      <c r="O145" s="339" t="s">
        <v>922</v>
      </c>
      <c r="P145" s="323" t="s">
        <v>219</v>
      </c>
      <c r="Q145" s="333"/>
      <c r="AJ145" s="46"/>
      <c r="AK145" s="47"/>
      <c r="AL145" s="383"/>
      <c r="AM145" s="383"/>
      <c r="AN145" s="383"/>
    </row>
    <row r="146" spans="1:40" ht="15" customHeight="1" x14ac:dyDescent="0.2">
      <c r="A146" s="96"/>
      <c r="D146" s="43" t="s">
        <v>923</v>
      </c>
      <c r="M146" s="45"/>
      <c r="N146" s="45"/>
      <c r="O146" s="339" t="s">
        <v>924</v>
      </c>
      <c r="P146" s="323" t="s">
        <v>219</v>
      </c>
      <c r="AJ146" s="46"/>
      <c r="AK146" s="47"/>
      <c r="AL146" s="383"/>
      <c r="AM146" s="383"/>
      <c r="AN146" s="383"/>
    </row>
    <row r="147" spans="1:40" ht="15" customHeight="1" x14ac:dyDescent="0.2">
      <c r="D147" s="43" t="s">
        <v>925</v>
      </c>
      <c r="M147" s="45"/>
      <c r="N147" s="45"/>
      <c r="O147" s="339" t="s">
        <v>926</v>
      </c>
      <c r="P147" s="323" t="s">
        <v>219</v>
      </c>
      <c r="AJ147" s="46"/>
      <c r="AK147" s="47"/>
      <c r="AL147" s="383"/>
      <c r="AM147" s="383"/>
      <c r="AN147" s="383"/>
    </row>
    <row r="148" spans="1:40" ht="15" customHeight="1" x14ac:dyDescent="0.2">
      <c r="A148" s="96"/>
      <c r="D148" s="43" t="s">
        <v>927</v>
      </c>
      <c r="M148" s="45"/>
      <c r="N148" s="45"/>
      <c r="O148" s="339" t="s">
        <v>928</v>
      </c>
      <c r="P148" s="323" t="s">
        <v>219</v>
      </c>
      <c r="AJ148" s="46"/>
      <c r="AK148" s="47"/>
      <c r="AL148" s="383"/>
      <c r="AM148" s="383"/>
      <c r="AN148" s="383"/>
    </row>
    <row r="149" spans="1:40" ht="15" customHeight="1" x14ac:dyDescent="0.2">
      <c r="A149" s="96"/>
      <c r="D149" s="43" t="s">
        <v>929</v>
      </c>
      <c r="M149" s="45"/>
      <c r="N149" s="45"/>
      <c r="O149" s="339" t="s">
        <v>930</v>
      </c>
      <c r="P149" s="323" t="s">
        <v>219</v>
      </c>
      <c r="AJ149" s="46"/>
      <c r="AK149" s="47"/>
      <c r="AL149" s="383"/>
      <c r="AM149" s="383"/>
      <c r="AN149" s="383"/>
    </row>
    <row r="150" spans="1:40" ht="15" customHeight="1" x14ac:dyDescent="0.2">
      <c r="A150" s="96"/>
      <c r="D150" s="43" t="s">
        <v>931</v>
      </c>
      <c r="M150" s="45"/>
      <c r="N150" s="45"/>
      <c r="O150" s="339" t="s">
        <v>932</v>
      </c>
      <c r="P150" s="323" t="s">
        <v>219</v>
      </c>
      <c r="AJ150" s="46"/>
      <c r="AK150" s="47"/>
      <c r="AL150" s="383"/>
      <c r="AM150" s="383"/>
      <c r="AN150" s="383"/>
    </row>
    <row r="151" spans="1:40" ht="15" customHeight="1" x14ac:dyDescent="0.2">
      <c r="A151" s="96"/>
      <c r="D151" s="43" t="s">
        <v>933</v>
      </c>
      <c r="M151" s="45"/>
      <c r="N151" s="45"/>
      <c r="O151" s="344" t="s">
        <v>752</v>
      </c>
      <c r="P151" s="326" t="s">
        <v>216</v>
      </c>
      <c r="Q151" s="353"/>
      <c r="AJ151" s="46"/>
      <c r="AK151" s="47"/>
      <c r="AL151" s="383"/>
      <c r="AM151" s="383"/>
      <c r="AN151" s="383"/>
    </row>
    <row r="152" spans="1:40" ht="15" customHeight="1" x14ac:dyDescent="0.2">
      <c r="A152" s="96"/>
      <c r="D152" s="43" t="s">
        <v>934</v>
      </c>
      <c r="M152" s="45"/>
      <c r="N152" s="45"/>
      <c r="O152" s="350" t="s">
        <v>935</v>
      </c>
      <c r="P152" s="323" t="s">
        <v>219</v>
      </c>
      <c r="Q152" s="353"/>
      <c r="AJ152" s="46"/>
      <c r="AK152" s="47"/>
      <c r="AL152" s="383"/>
      <c r="AM152" s="383"/>
      <c r="AN152" s="383"/>
    </row>
    <row r="153" spans="1:40" ht="15" customHeight="1" x14ac:dyDescent="0.2">
      <c r="A153" s="96"/>
      <c r="D153" s="43" t="s">
        <v>936</v>
      </c>
      <c r="M153" s="45"/>
      <c r="N153" s="45"/>
      <c r="O153" s="350" t="s">
        <v>937</v>
      </c>
      <c r="P153" s="323" t="s">
        <v>219</v>
      </c>
      <c r="Q153" s="353"/>
      <c r="AJ153" s="46"/>
      <c r="AK153" s="47"/>
      <c r="AL153" s="383"/>
      <c r="AM153" s="383"/>
      <c r="AN153" s="383"/>
    </row>
    <row r="154" spans="1:40" ht="15" customHeight="1" x14ac:dyDescent="0.2">
      <c r="A154" s="96"/>
      <c r="D154" s="43" t="s">
        <v>938</v>
      </c>
      <c r="M154" s="45"/>
      <c r="N154" s="45"/>
      <c r="O154" s="350" t="s">
        <v>939</v>
      </c>
      <c r="P154" s="323" t="s">
        <v>219</v>
      </c>
      <c r="Q154" s="353"/>
      <c r="AJ154" s="46"/>
      <c r="AK154" s="47"/>
      <c r="AL154" s="383"/>
      <c r="AM154" s="383"/>
      <c r="AN154" s="383"/>
    </row>
    <row r="155" spans="1:40" ht="15" customHeight="1" thickBot="1" x14ac:dyDescent="0.25">
      <c r="A155" s="96"/>
      <c r="D155" s="43" t="s">
        <v>940</v>
      </c>
      <c r="M155" s="45"/>
      <c r="N155" s="45"/>
      <c r="O155" s="349" t="s">
        <v>941</v>
      </c>
      <c r="P155" s="323" t="s">
        <v>219</v>
      </c>
      <c r="Q155" s="353"/>
      <c r="AE155" s="46"/>
      <c r="AF155" s="47"/>
      <c r="AG155" s="383"/>
      <c r="AH155" s="383"/>
      <c r="AI155" s="383"/>
    </row>
    <row r="156" spans="1:40" ht="15" customHeight="1" thickBot="1" x14ac:dyDescent="0.25">
      <c r="A156" s="96"/>
      <c r="D156" s="43" t="s">
        <v>942</v>
      </c>
      <c r="M156" s="45"/>
      <c r="N156" s="45"/>
      <c r="O156" s="343" t="s">
        <v>943</v>
      </c>
      <c r="P156" s="326"/>
      <c r="AE156" s="46"/>
      <c r="AF156" s="47"/>
      <c r="AG156" s="383"/>
      <c r="AH156" s="383"/>
      <c r="AI156" s="383"/>
    </row>
    <row r="157" spans="1:40" ht="15" customHeight="1" x14ac:dyDescent="0.2">
      <c r="A157" s="96"/>
      <c r="D157" s="43" t="s">
        <v>944</v>
      </c>
      <c r="M157" s="45"/>
      <c r="N157" s="45"/>
      <c r="O157" s="337" t="s">
        <v>945</v>
      </c>
      <c r="P157" s="326" t="s">
        <v>216</v>
      </c>
      <c r="AE157" s="46"/>
      <c r="AF157" s="47"/>
      <c r="AG157" s="383"/>
      <c r="AH157" s="383"/>
      <c r="AI157" s="383"/>
    </row>
    <row r="158" spans="1:40" ht="15" customHeight="1" x14ac:dyDescent="0.2">
      <c r="A158" s="96"/>
      <c r="D158" s="43" t="s">
        <v>946</v>
      </c>
      <c r="M158" s="45"/>
      <c r="N158" s="45"/>
      <c r="O158" s="344" t="s">
        <v>947</v>
      </c>
      <c r="P158" s="326" t="s">
        <v>216</v>
      </c>
      <c r="AE158" s="46"/>
      <c r="AF158" s="47"/>
      <c r="AG158" s="383"/>
      <c r="AH158" s="383"/>
      <c r="AI158" s="383"/>
    </row>
    <row r="159" spans="1:40" ht="15" customHeight="1" x14ac:dyDescent="0.2">
      <c r="A159" s="96"/>
      <c r="D159" s="43" t="s">
        <v>948</v>
      </c>
      <c r="M159" s="45"/>
      <c r="N159" s="45"/>
      <c r="O159" s="339" t="s">
        <v>949</v>
      </c>
      <c r="P159" s="323" t="s">
        <v>219</v>
      </c>
      <c r="AE159" s="46"/>
      <c r="AF159" s="47"/>
      <c r="AG159" s="383"/>
      <c r="AH159" s="383"/>
      <c r="AI159" s="383"/>
    </row>
    <row r="160" spans="1:40" ht="15" customHeight="1" x14ac:dyDescent="0.2">
      <c r="A160" s="96"/>
      <c r="B160" s="97"/>
      <c r="D160" s="43" t="s">
        <v>950</v>
      </c>
      <c r="M160" s="45"/>
      <c r="N160" s="45"/>
      <c r="O160" s="339" t="s">
        <v>951</v>
      </c>
      <c r="P160" s="323" t="s">
        <v>219</v>
      </c>
      <c r="AE160" s="46"/>
      <c r="AF160" s="47"/>
      <c r="AG160" s="383"/>
      <c r="AH160" s="383"/>
      <c r="AI160" s="383"/>
    </row>
    <row r="161" spans="1:35" ht="15" customHeight="1" x14ac:dyDescent="0.2">
      <c r="A161" s="96"/>
      <c r="B161" s="97"/>
      <c r="D161" s="43" t="s">
        <v>952</v>
      </c>
      <c r="M161" s="45"/>
      <c r="N161" s="45"/>
      <c r="O161" s="339" t="s">
        <v>953</v>
      </c>
      <c r="P161" s="323" t="s">
        <v>219</v>
      </c>
      <c r="AE161" s="46"/>
      <c r="AF161" s="47"/>
      <c r="AG161" s="383"/>
      <c r="AH161" s="383"/>
      <c r="AI161" s="383"/>
    </row>
    <row r="162" spans="1:35" ht="15" customHeight="1" x14ac:dyDescent="0.2">
      <c r="A162" s="96"/>
      <c r="B162" s="97"/>
      <c r="D162" s="43" t="s">
        <v>954</v>
      </c>
      <c r="M162" s="45"/>
      <c r="N162" s="45"/>
      <c r="O162" s="339" t="s">
        <v>955</v>
      </c>
      <c r="P162" s="323" t="s">
        <v>219</v>
      </c>
      <c r="AE162" s="46"/>
      <c r="AF162" s="47"/>
      <c r="AG162" s="383"/>
      <c r="AH162" s="383"/>
      <c r="AI162" s="383"/>
    </row>
    <row r="163" spans="1:35" ht="15" customHeight="1" x14ac:dyDescent="0.2">
      <c r="A163" s="96"/>
      <c r="B163" s="97"/>
      <c r="D163" s="43" t="s">
        <v>956</v>
      </c>
      <c r="M163" s="45"/>
      <c r="N163" s="45"/>
      <c r="O163" s="339" t="s">
        <v>957</v>
      </c>
      <c r="P163" s="323" t="s">
        <v>219</v>
      </c>
      <c r="AE163" s="46"/>
      <c r="AF163" s="47"/>
      <c r="AG163" s="383"/>
      <c r="AH163" s="383"/>
      <c r="AI163" s="383"/>
    </row>
    <row r="164" spans="1:35" ht="15" customHeight="1" x14ac:dyDescent="0.2">
      <c r="A164" s="96"/>
      <c r="B164" s="97"/>
      <c r="D164" s="43" t="s">
        <v>958</v>
      </c>
      <c r="M164" s="45"/>
      <c r="N164" s="45"/>
      <c r="O164" s="339" t="s">
        <v>959</v>
      </c>
      <c r="P164" s="323" t="s">
        <v>219</v>
      </c>
      <c r="AE164" s="46"/>
      <c r="AF164" s="47"/>
      <c r="AG164" s="383"/>
      <c r="AH164" s="383"/>
      <c r="AI164" s="383"/>
    </row>
    <row r="165" spans="1:35" ht="15" customHeight="1" x14ac:dyDescent="0.2">
      <c r="A165" s="96"/>
      <c r="B165" s="97"/>
      <c r="D165" s="43" t="s">
        <v>960</v>
      </c>
      <c r="M165" s="45"/>
      <c r="N165" s="45"/>
      <c r="O165" s="339" t="s">
        <v>961</v>
      </c>
      <c r="P165" s="323" t="s">
        <v>219</v>
      </c>
      <c r="AE165" s="46"/>
      <c r="AF165" s="47"/>
      <c r="AG165" s="383"/>
      <c r="AH165" s="383"/>
      <c r="AI165" s="383"/>
    </row>
    <row r="166" spans="1:35" ht="15" customHeight="1" x14ac:dyDescent="0.2">
      <c r="A166" s="96"/>
      <c r="B166" s="97"/>
      <c r="D166" s="43" t="s">
        <v>962</v>
      </c>
      <c r="M166" s="45"/>
      <c r="N166" s="45"/>
      <c r="O166" s="339" t="s">
        <v>963</v>
      </c>
      <c r="P166" s="323" t="s">
        <v>219</v>
      </c>
      <c r="AE166" s="46"/>
      <c r="AF166" s="47"/>
      <c r="AG166" s="383"/>
      <c r="AH166" s="383"/>
      <c r="AI166" s="383"/>
    </row>
    <row r="167" spans="1:35" ht="15" customHeight="1" x14ac:dyDescent="0.2">
      <c r="A167" s="96"/>
      <c r="B167" s="97"/>
      <c r="D167" s="43" t="s">
        <v>964</v>
      </c>
      <c r="M167" s="45"/>
      <c r="N167" s="45"/>
      <c r="O167" s="339" t="s">
        <v>965</v>
      </c>
      <c r="P167" s="323" t="s">
        <v>219</v>
      </c>
      <c r="AE167" s="46"/>
      <c r="AF167" s="47"/>
      <c r="AG167" s="383"/>
      <c r="AH167" s="383"/>
      <c r="AI167" s="383"/>
    </row>
    <row r="168" spans="1:35" ht="15" customHeight="1" x14ac:dyDescent="0.2">
      <c r="A168" s="96"/>
      <c r="B168" s="97"/>
      <c r="D168" s="43" t="s">
        <v>966</v>
      </c>
      <c r="M168" s="45"/>
      <c r="N168" s="45"/>
      <c r="O168" s="339" t="s">
        <v>967</v>
      </c>
      <c r="P168" s="323" t="s">
        <v>219</v>
      </c>
      <c r="AE168" s="46"/>
      <c r="AF168" s="47"/>
      <c r="AG168" s="383"/>
      <c r="AH168" s="383"/>
      <c r="AI168" s="383"/>
    </row>
    <row r="169" spans="1:35" ht="15" customHeight="1" x14ac:dyDescent="0.2">
      <c r="A169" s="96"/>
      <c r="B169" s="97"/>
      <c r="D169" s="43" t="s">
        <v>968</v>
      </c>
      <c r="M169" s="45"/>
      <c r="N169" s="45"/>
      <c r="O169" s="339" t="s">
        <v>969</v>
      </c>
      <c r="P169" s="323" t="s">
        <v>219</v>
      </c>
      <c r="AE169" s="46"/>
      <c r="AF169" s="47"/>
      <c r="AG169" s="383"/>
      <c r="AH169" s="383"/>
      <c r="AI169" s="383"/>
    </row>
    <row r="170" spans="1:35" ht="15" customHeight="1" x14ac:dyDescent="0.2">
      <c r="A170" s="96"/>
      <c r="B170" s="97"/>
      <c r="D170" s="43" t="s">
        <v>970</v>
      </c>
      <c r="M170" s="45"/>
      <c r="N170" s="45"/>
      <c r="O170" s="339" t="s">
        <v>971</v>
      </c>
      <c r="P170" s="323" t="s">
        <v>219</v>
      </c>
      <c r="AE170" s="46"/>
      <c r="AF170" s="47"/>
      <c r="AG170" s="383"/>
      <c r="AH170" s="383"/>
      <c r="AI170" s="383"/>
    </row>
    <row r="171" spans="1:35" ht="15" customHeight="1" x14ac:dyDescent="0.2">
      <c r="A171" s="96"/>
      <c r="B171" s="97"/>
      <c r="D171" s="43" t="s">
        <v>972</v>
      </c>
      <c r="M171" s="45"/>
      <c r="N171" s="45"/>
      <c r="O171" s="339" t="s">
        <v>973</v>
      </c>
      <c r="P171" s="323" t="s">
        <v>219</v>
      </c>
      <c r="AE171" s="46"/>
      <c r="AF171" s="47"/>
      <c r="AG171" s="383"/>
      <c r="AH171" s="383"/>
      <c r="AI171" s="383"/>
    </row>
    <row r="172" spans="1:35" ht="15" customHeight="1" x14ac:dyDescent="0.2">
      <c r="A172" s="96"/>
      <c r="B172" s="97"/>
      <c r="D172" s="43" t="s">
        <v>974</v>
      </c>
      <c r="M172" s="45"/>
      <c r="N172" s="45"/>
      <c r="O172" s="339" t="s">
        <v>975</v>
      </c>
      <c r="P172" s="323" t="s">
        <v>219</v>
      </c>
      <c r="AE172" s="46"/>
      <c r="AF172" s="47"/>
      <c r="AG172" s="383"/>
      <c r="AH172" s="383"/>
      <c r="AI172" s="383"/>
    </row>
    <row r="173" spans="1:35" ht="15" customHeight="1" x14ac:dyDescent="0.2">
      <c r="A173" s="96"/>
      <c r="B173" s="97"/>
      <c r="D173" s="43" t="s">
        <v>976</v>
      </c>
      <c r="M173" s="45"/>
      <c r="N173" s="45"/>
      <c r="O173" s="339" t="s">
        <v>977</v>
      </c>
      <c r="P173" s="323" t="s">
        <v>219</v>
      </c>
      <c r="AE173" s="46"/>
      <c r="AF173" s="47"/>
      <c r="AG173" s="383"/>
      <c r="AH173" s="383"/>
      <c r="AI173" s="383"/>
    </row>
    <row r="174" spans="1:35" ht="15" customHeight="1" thickBot="1" x14ac:dyDescent="0.25">
      <c r="A174" s="96"/>
      <c r="B174" s="97"/>
      <c r="D174" s="43" t="s">
        <v>978</v>
      </c>
      <c r="M174" s="45"/>
      <c r="N174" s="45"/>
      <c r="O174" s="349" t="s">
        <v>979</v>
      </c>
      <c r="P174" s="323" t="s">
        <v>219</v>
      </c>
      <c r="Q174" s="353"/>
      <c r="AE174" s="46"/>
      <c r="AF174" s="47"/>
      <c r="AG174" s="383"/>
      <c r="AH174" s="383"/>
      <c r="AI174" s="383"/>
    </row>
    <row r="175" spans="1:35" ht="15" customHeight="1" thickBot="1" x14ac:dyDescent="0.25">
      <c r="A175" s="96"/>
      <c r="B175" s="97"/>
      <c r="D175" s="43" t="s">
        <v>980</v>
      </c>
      <c r="M175" s="45"/>
      <c r="N175" s="45"/>
      <c r="O175" s="345" t="s">
        <v>981</v>
      </c>
      <c r="P175" s="323"/>
      <c r="AE175" s="46"/>
      <c r="AF175" s="47"/>
      <c r="AG175" s="383"/>
      <c r="AH175" s="383"/>
      <c r="AI175" s="383"/>
    </row>
    <row r="176" spans="1:35" ht="15" customHeight="1" x14ac:dyDescent="0.2">
      <c r="A176" s="96"/>
      <c r="B176" s="97"/>
      <c r="D176" s="43" t="s">
        <v>982</v>
      </c>
      <c r="M176" s="45"/>
      <c r="N176" s="45"/>
      <c r="O176" s="337" t="s">
        <v>983</v>
      </c>
      <c r="P176" s="326" t="s">
        <v>216</v>
      </c>
      <c r="AE176" s="46"/>
      <c r="AF176" s="47"/>
      <c r="AG176" s="383"/>
      <c r="AH176" s="383"/>
      <c r="AI176" s="383"/>
    </row>
    <row r="177" spans="1:35" ht="15" customHeight="1" x14ac:dyDescent="0.2">
      <c r="A177" s="96"/>
      <c r="B177" s="97"/>
      <c r="D177" s="43" t="s">
        <v>984</v>
      </c>
      <c r="M177" s="45"/>
      <c r="N177" s="45"/>
      <c r="O177" s="338" t="s">
        <v>985</v>
      </c>
      <c r="P177" s="326" t="s">
        <v>216</v>
      </c>
      <c r="AE177" s="46"/>
      <c r="AF177" s="47"/>
      <c r="AG177" s="383"/>
      <c r="AH177" s="383"/>
      <c r="AI177" s="383"/>
    </row>
    <row r="178" spans="1:35" ht="15" customHeight="1" x14ac:dyDescent="0.2">
      <c r="A178" s="96"/>
      <c r="B178" s="97"/>
      <c r="D178" s="43" t="s">
        <v>986</v>
      </c>
      <c r="M178" s="45"/>
      <c r="N178" s="45"/>
      <c r="O178" s="338" t="s">
        <v>987</v>
      </c>
      <c r="P178" s="326" t="s">
        <v>216</v>
      </c>
      <c r="AE178" s="46"/>
      <c r="AF178" s="47"/>
      <c r="AG178" s="383"/>
      <c r="AH178" s="383"/>
      <c r="AI178" s="383"/>
    </row>
    <row r="179" spans="1:35" ht="15" customHeight="1" x14ac:dyDescent="0.2">
      <c r="A179" s="96"/>
      <c r="B179" s="97"/>
      <c r="D179" s="43" t="s">
        <v>988</v>
      </c>
      <c r="M179" s="45"/>
      <c r="N179" s="45"/>
      <c r="O179" s="339" t="s">
        <v>989</v>
      </c>
      <c r="P179" s="323" t="s">
        <v>219</v>
      </c>
      <c r="AE179" s="46"/>
      <c r="AF179" s="47"/>
      <c r="AG179" s="383"/>
      <c r="AH179" s="383"/>
      <c r="AI179" s="383"/>
    </row>
    <row r="180" spans="1:35" ht="15" customHeight="1" x14ac:dyDescent="0.2">
      <c r="A180" s="96"/>
      <c r="B180" s="97"/>
      <c r="D180" s="43" t="s">
        <v>990</v>
      </c>
      <c r="M180" s="45"/>
      <c r="N180" s="45"/>
      <c r="O180" s="339" t="s">
        <v>991</v>
      </c>
      <c r="P180" s="323" t="s">
        <v>219</v>
      </c>
      <c r="AE180" s="46"/>
      <c r="AF180" s="47"/>
      <c r="AG180" s="383"/>
      <c r="AH180" s="383"/>
      <c r="AI180" s="383"/>
    </row>
    <row r="181" spans="1:35" ht="15" customHeight="1" x14ac:dyDescent="0.2">
      <c r="A181" s="96"/>
      <c r="B181" s="97"/>
      <c r="D181" s="43" t="s">
        <v>992</v>
      </c>
      <c r="M181" s="45"/>
      <c r="N181" s="45"/>
      <c r="O181" s="339" t="s">
        <v>993</v>
      </c>
      <c r="P181" s="323" t="s">
        <v>219</v>
      </c>
      <c r="AE181" s="46"/>
      <c r="AF181" s="47"/>
      <c r="AG181" s="383"/>
      <c r="AH181" s="383"/>
      <c r="AI181" s="383"/>
    </row>
    <row r="182" spans="1:35" ht="15" customHeight="1" x14ac:dyDescent="0.2">
      <c r="A182" s="96"/>
      <c r="B182" s="97"/>
      <c r="D182" s="43" t="s">
        <v>994</v>
      </c>
      <c r="M182" s="45"/>
      <c r="N182" s="45"/>
      <c r="O182" s="339" t="s">
        <v>995</v>
      </c>
      <c r="P182" s="323" t="s">
        <v>219</v>
      </c>
      <c r="AE182" s="46"/>
      <c r="AF182" s="47"/>
      <c r="AG182" s="383"/>
      <c r="AH182" s="383"/>
      <c r="AI182" s="383"/>
    </row>
    <row r="183" spans="1:35" ht="15" customHeight="1" x14ac:dyDescent="0.2">
      <c r="A183" s="96"/>
      <c r="B183" s="97"/>
      <c r="D183" s="43" t="s">
        <v>996</v>
      </c>
      <c r="M183" s="45"/>
      <c r="N183" s="45"/>
      <c r="O183" s="339" t="s">
        <v>997</v>
      </c>
      <c r="P183" s="323" t="s">
        <v>219</v>
      </c>
      <c r="AE183" s="46"/>
      <c r="AF183" s="47"/>
      <c r="AG183" s="383"/>
      <c r="AH183" s="383"/>
      <c r="AI183" s="383"/>
    </row>
    <row r="184" spans="1:35" ht="15" customHeight="1" x14ac:dyDescent="0.2">
      <c r="A184" s="96"/>
      <c r="B184" s="97"/>
      <c r="D184" s="43" t="s">
        <v>998</v>
      </c>
      <c r="M184" s="45"/>
      <c r="N184" s="45"/>
      <c r="O184" s="339" t="s">
        <v>999</v>
      </c>
      <c r="P184" s="323" t="s">
        <v>219</v>
      </c>
      <c r="AE184" s="46"/>
      <c r="AF184" s="47"/>
      <c r="AG184" s="383"/>
      <c r="AH184" s="383"/>
      <c r="AI184" s="383"/>
    </row>
    <row r="185" spans="1:35" ht="15" customHeight="1" x14ac:dyDescent="0.2">
      <c r="A185" s="96"/>
      <c r="B185" s="97"/>
      <c r="D185" s="43" t="s">
        <v>1000</v>
      </c>
      <c r="M185" s="45"/>
      <c r="N185" s="45"/>
      <c r="O185" s="339" t="s">
        <v>1001</v>
      </c>
      <c r="P185" s="323" t="s">
        <v>219</v>
      </c>
      <c r="AE185" s="46"/>
      <c r="AF185" s="47"/>
      <c r="AG185" s="383"/>
      <c r="AH185" s="383"/>
      <c r="AI185" s="383"/>
    </row>
    <row r="186" spans="1:35" ht="15" customHeight="1" x14ac:dyDescent="0.2">
      <c r="A186" s="96"/>
      <c r="B186" s="97"/>
      <c r="D186" s="43" t="s">
        <v>1002</v>
      </c>
      <c r="M186" s="45"/>
      <c r="N186" s="45"/>
      <c r="O186" s="339" t="s">
        <v>1003</v>
      </c>
      <c r="P186" s="323" t="s">
        <v>219</v>
      </c>
      <c r="AE186" s="46"/>
      <c r="AF186" s="47"/>
      <c r="AG186" s="383"/>
      <c r="AH186" s="383"/>
      <c r="AI186" s="383"/>
    </row>
    <row r="187" spans="1:35" ht="15" customHeight="1" x14ac:dyDescent="0.2">
      <c r="A187" s="96"/>
      <c r="B187" s="97"/>
      <c r="D187" s="43" t="s">
        <v>1004</v>
      </c>
      <c r="M187" s="45"/>
      <c r="N187" s="45"/>
      <c r="O187" s="339" t="s">
        <v>1005</v>
      </c>
      <c r="P187" s="323" t="s">
        <v>219</v>
      </c>
      <c r="AE187" s="46"/>
      <c r="AF187" s="47"/>
      <c r="AG187" s="383"/>
      <c r="AH187" s="383"/>
      <c r="AI187" s="383"/>
    </row>
    <row r="188" spans="1:35" ht="15" customHeight="1" x14ac:dyDescent="0.2">
      <c r="A188" s="96"/>
      <c r="B188" s="97"/>
      <c r="D188" s="43" t="s">
        <v>1006</v>
      </c>
      <c r="M188" s="45"/>
      <c r="N188" s="45"/>
      <c r="O188" s="339" t="s">
        <v>1007</v>
      </c>
      <c r="P188" s="323" t="s">
        <v>219</v>
      </c>
      <c r="AE188" s="46"/>
      <c r="AF188" s="47"/>
      <c r="AG188" s="383"/>
      <c r="AH188" s="383"/>
      <c r="AI188" s="383"/>
    </row>
    <row r="189" spans="1:35" ht="15" customHeight="1" x14ac:dyDescent="0.2">
      <c r="A189" s="96"/>
      <c r="B189" s="97"/>
      <c r="D189" s="43" t="s">
        <v>1008</v>
      </c>
      <c r="M189" s="45"/>
      <c r="N189" s="45"/>
      <c r="O189" s="339" t="s">
        <v>1009</v>
      </c>
      <c r="P189" s="323" t="s">
        <v>219</v>
      </c>
      <c r="AE189" s="46"/>
      <c r="AF189" s="47"/>
      <c r="AG189" s="383"/>
      <c r="AH189" s="383"/>
      <c r="AI189" s="383"/>
    </row>
    <row r="190" spans="1:35" ht="15" customHeight="1" x14ac:dyDescent="0.2">
      <c r="A190" s="96"/>
      <c r="B190" s="97"/>
      <c r="D190" s="43" t="s">
        <v>1010</v>
      </c>
      <c r="M190" s="45"/>
      <c r="N190" s="45"/>
      <c r="O190" s="339" t="s">
        <v>1011</v>
      </c>
      <c r="P190" s="323" t="s">
        <v>219</v>
      </c>
      <c r="AE190" s="46"/>
      <c r="AF190" s="47"/>
      <c r="AG190" s="383"/>
      <c r="AH190" s="383"/>
      <c r="AI190" s="383"/>
    </row>
    <row r="191" spans="1:35" ht="15" customHeight="1" x14ac:dyDescent="0.2">
      <c r="A191" s="96"/>
      <c r="B191" s="97"/>
      <c r="D191" s="43" t="s">
        <v>1012</v>
      </c>
      <c r="M191" s="45"/>
      <c r="N191" s="45"/>
      <c r="O191" s="339" t="s">
        <v>1013</v>
      </c>
      <c r="P191" s="323" t="s">
        <v>219</v>
      </c>
      <c r="AE191" s="46"/>
      <c r="AF191" s="47"/>
      <c r="AG191" s="383"/>
      <c r="AH191" s="383"/>
      <c r="AI191" s="383"/>
    </row>
    <row r="192" spans="1:35" ht="15" customHeight="1" x14ac:dyDescent="0.2">
      <c r="A192" s="96"/>
      <c r="B192" s="97"/>
      <c r="D192" s="43" t="s">
        <v>1014</v>
      </c>
      <c r="M192" s="45"/>
      <c r="N192" s="45"/>
      <c r="O192" s="339" t="s">
        <v>1015</v>
      </c>
      <c r="P192" s="323" t="s">
        <v>219</v>
      </c>
      <c r="AE192" s="46"/>
      <c r="AF192" s="47"/>
      <c r="AG192" s="383"/>
      <c r="AH192" s="383"/>
      <c r="AI192" s="383"/>
    </row>
    <row r="193" spans="1:35" ht="15" customHeight="1" x14ac:dyDescent="0.2">
      <c r="A193" s="96"/>
      <c r="B193" s="97"/>
      <c r="D193" s="43" t="s">
        <v>1016</v>
      </c>
      <c r="M193" s="45"/>
      <c r="N193" s="45"/>
      <c r="O193" s="339" t="s">
        <v>1017</v>
      </c>
      <c r="P193" s="323" t="s">
        <v>219</v>
      </c>
      <c r="AE193" s="46"/>
      <c r="AF193" s="47"/>
      <c r="AG193" s="383"/>
      <c r="AH193" s="383"/>
      <c r="AI193" s="383"/>
    </row>
    <row r="194" spans="1:35" ht="15" customHeight="1" x14ac:dyDescent="0.2">
      <c r="B194" s="97"/>
      <c r="D194" s="43" t="s">
        <v>1018</v>
      </c>
      <c r="M194" s="45"/>
      <c r="N194" s="45"/>
      <c r="O194" s="339" t="s">
        <v>1019</v>
      </c>
      <c r="P194" s="323" t="s">
        <v>219</v>
      </c>
      <c r="AE194" s="46"/>
      <c r="AF194" s="47"/>
      <c r="AG194" s="383"/>
      <c r="AH194" s="383"/>
      <c r="AI194" s="383"/>
    </row>
    <row r="195" spans="1:35" ht="15" customHeight="1" x14ac:dyDescent="0.2">
      <c r="B195" s="97"/>
      <c r="D195" s="43" t="s">
        <v>1020</v>
      </c>
      <c r="M195" s="45"/>
      <c r="N195" s="45"/>
      <c r="O195" s="339" t="s">
        <v>1021</v>
      </c>
      <c r="P195" s="323" t="s">
        <v>219</v>
      </c>
      <c r="AE195" s="46"/>
      <c r="AF195" s="47"/>
      <c r="AG195" s="383"/>
      <c r="AH195" s="383"/>
      <c r="AI195" s="383"/>
    </row>
    <row r="196" spans="1:35" ht="15" customHeight="1" x14ac:dyDescent="0.2">
      <c r="B196" s="97"/>
      <c r="D196" s="43" t="s">
        <v>1022</v>
      </c>
      <c r="M196" s="45"/>
      <c r="N196" s="45"/>
      <c r="O196" s="339" t="s">
        <v>1023</v>
      </c>
      <c r="P196" s="323" t="s">
        <v>219</v>
      </c>
      <c r="AE196" s="46"/>
      <c r="AF196" s="47"/>
      <c r="AG196" s="383"/>
      <c r="AH196" s="383"/>
      <c r="AI196" s="383"/>
    </row>
    <row r="197" spans="1:35" ht="15" customHeight="1" x14ac:dyDescent="0.2">
      <c r="B197" s="97"/>
      <c r="D197" s="43" t="s">
        <v>1024</v>
      </c>
      <c r="M197" s="45"/>
      <c r="N197" s="45"/>
      <c r="O197" s="339" t="s">
        <v>1025</v>
      </c>
      <c r="P197" s="323" t="s">
        <v>219</v>
      </c>
      <c r="AE197" s="46"/>
      <c r="AF197" s="47"/>
      <c r="AG197" s="383"/>
      <c r="AH197" s="383"/>
      <c r="AI197" s="383"/>
    </row>
    <row r="198" spans="1:35" ht="15" customHeight="1" x14ac:dyDescent="0.2">
      <c r="B198" s="97"/>
      <c r="D198" s="43" t="s">
        <v>1026</v>
      </c>
      <c r="M198" s="45"/>
      <c r="N198" s="45"/>
      <c r="O198" s="339" t="s">
        <v>1027</v>
      </c>
      <c r="P198" s="323" t="s">
        <v>219</v>
      </c>
      <c r="AE198" s="46"/>
      <c r="AF198" s="47"/>
      <c r="AG198" s="383"/>
      <c r="AH198" s="383"/>
      <c r="AI198" s="383"/>
    </row>
    <row r="199" spans="1:35" ht="15" customHeight="1" x14ac:dyDescent="0.2">
      <c r="B199" s="97"/>
      <c r="D199" s="43" t="s">
        <v>1028</v>
      </c>
      <c r="M199" s="45"/>
      <c r="N199" s="45"/>
      <c r="O199" s="339" t="s">
        <v>1029</v>
      </c>
      <c r="P199" s="323" t="s">
        <v>219</v>
      </c>
      <c r="Q199" s="333"/>
      <c r="AE199" s="46"/>
      <c r="AF199" s="47"/>
      <c r="AG199" s="383"/>
      <c r="AH199" s="383"/>
      <c r="AI199" s="383"/>
    </row>
    <row r="200" spans="1:35" ht="15" customHeight="1" thickBot="1" x14ac:dyDescent="0.25">
      <c r="B200" s="97"/>
      <c r="D200" s="43" t="s">
        <v>1030</v>
      </c>
      <c r="M200" s="45"/>
      <c r="N200" s="45"/>
      <c r="O200" s="340" t="s">
        <v>1031</v>
      </c>
      <c r="P200" s="323" t="s">
        <v>219</v>
      </c>
      <c r="Q200" s="353"/>
      <c r="AE200" s="46"/>
      <c r="AF200" s="47"/>
      <c r="AG200" s="383"/>
      <c r="AH200" s="383"/>
      <c r="AI200" s="383"/>
    </row>
    <row r="201" spans="1:35" ht="15" customHeight="1" thickBot="1" x14ac:dyDescent="0.25">
      <c r="B201" s="97"/>
      <c r="D201" s="43" t="s">
        <v>1032</v>
      </c>
      <c r="M201" s="45"/>
      <c r="N201" s="45"/>
      <c r="O201" s="341" t="s">
        <v>1033</v>
      </c>
      <c r="P201" s="323"/>
      <c r="AE201" s="46"/>
      <c r="AF201" s="47"/>
      <c r="AG201" s="383"/>
      <c r="AH201" s="383"/>
      <c r="AI201" s="383"/>
    </row>
    <row r="202" spans="1:35" ht="15" customHeight="1" x14ac:dyDescent="0.2">
      <c r="B202" s="97"/>
      <c r="D202" s="43" t="s">
        <v>1034</v>
      </c>
      <c r="M202" s="45"/>
      <c r="N202" s="45"/>
      <c r="O202" s="337" t="s">
        <v>993</v>
      </c>
      <c r="P202" s="326" t="s">
        <v>216</v>
      </c>
      <c r="AE202" s="46"/>
      <c r="AF202" s="47"/>
      <c r="AG202" s="383"/>
      <c r="AH202" s="383"/>
      <c r="AI202" s="383"/>
    </row>
    <row r="203" spans="1:35" ht="15" customHeight="1" x14ac:dyDescent="0.2">
      <c r="B203" s="97"/>
      <c r="D203" s="43" t="s">
        <v>1035</v>
      </c>
      <c r="M203" s="45"/>
      <c r="N203" s="45"/>
      <c r="O203" s="338" t="s">
        <v>1036</v>
      </c>
      <c r="P203" s="326" t="s">
        <v>216</v>
      </c>
      <c r="AE203" s="46"/>
      <c r="AF203" s="47"/>
      <c r="AG203" s="383"/>
      <c r="AH203" s="383"/>
      <c r="AI203" s="383"/>
    </row>
    <row r="204" spans="1:35" ht="15" customHeight="1" x14ac:dyDescent="0.2">
      <c r="B204" s="97"/>
      <c r="D204" s="43" t="s">
        <v>35</v>
      </c>
      <c r="M204" s="45"/>
      <c r="N204" s="45"/>
      <c r="O204" s="338" t="s">
        <v>1037</v>
      </c>
      <c r="P204" s="326" t="s">
        <v>216</v>
      </c>
      <c r="AE204" s="46"/>
      <c r="AF204" s="47"/>
      <c r="AG204" s="383"/>
      <c r="AH204" s="383"/>
      <c r="AI204" s="383"/>
    </row>
    <row r="205" spans="1:35" ht="15" customHeight="1" x14ac:dyDescent="0.2">
      <c r="B205" s="97"/>
      <c r="D205" s="50" t="s">
        <v>295</v>
      </c>
      <c r="M205" s="45"/>
      <c r="N205" s="45"/>
      <c r="O205" s="338" t="s">
        <v>1038</v>
      </c>
      <c r="P205" s="326" t="s">
        <v>216</v>
      </c>
      <c r="AE205" s="46"/>
      <c r="AF205" s="47"/>
      <c r="AG205" s="383"/>
      <c r="AH205" s="383"/>
      <c r="AI205" s="383"/>
    </row>
    <row r="206" spans="1:35" ht="15" customHeight="1" x14ac:dyDescent="0.2">
      <c r="B206" s="97"/>
      <c r="M206" s="45"/>
      <c r="N206" s="45"/>
      <c r="O206" s="339" t="s">
        <v>1039</v>
      </c>
      <c r="P206" s="323" t="s">
        <v>219</v>
      </c>
      <c r="AE206" s="46"/>
      <c r="AF206" s="47"/>
      <c r="AG206" s="383"/>
      <c r="AH206" s="383"/>
      <c r="AI206" s="383"/>
    </row>
    <row r="207" spans="1:35" ht="15" customHeight="1" x14ac:dyDescent="0.2">
      <c r="B207" s="97"/>
      <c r="M207" s="45"/>
      <c r="N207" s="45"/>
      <c r="O207" s="339" t="s">
        <v>1040</v>
      </c>
      <c r="P207" s="323" t="s">
        <v>219</v>
      </c>
      <c r="Q207" s="333"/>
      <c r="AE207" s="46"/>
      <c r="AF207" s="47"/>
      <c r="AG207" s="383"/>
      <c r="AH207" s="383"/>
      <c r="AI207" s="383"/>
    </row>
    <row r="208" spans="1:35" ht="15" customHeight="1" x14ac:dyDescent="0.2">
      <c r="B208" s="97"/>
      <c r="M208" s="45"/>
      <c r="N208" s="45"/>
      <c r="O208" s="339" t="s">
        <v>983</v>
      </c>
      <c r="P208" s="323" t="s">
        <v>219</v>
      </c>
      <c r="AE208" s="46"/>
      <c r="AF208" s="47"/>
      <c r="AG208" s="383"/>
      <c r="AH208" s="383"/>
      <c r="AI208" s="383"/>
    </row>
    <row r="209" spans="2:35" ht="15" customHeight="1" x14ac:dyDescent="0.2">
      <c r="B209" s="97"/>
      <c r="M209" s="45"/>
      <c r="N209" s="45"/>
      <c r="O209" s="339" t="s">
        <v>985</v>
      </c>
      <c r="P209" s="323" t="s">
        <v>219</v>
      </c>
      <c r="AE209" s="46"/>
      <c r="AF209" s="47"/>
      <c r="AG209" s="383"/>
      <c r="AH209" s="383"/>
      <c r="AI209" s="383"/>
    </row>
    <row r="210" spans="2:35" ht="15" customHeight="1" x14ac:dyDescent="0.2">
      <c r="B210" s="97"/>
      <c r="M210" s="45"/>
      <c r="N210" s="45"/>
      <c r="O210" s="339" t="s">
        <v>1041</v>
      </c>
      <c r="P210" s="323" t="s">
        <v>219</v>
      </c>
      <c r="AE210" s="46"/>
      <c r="AF210" s="47"/>
      <c r="AG210" s="383"/>
      <c r="AH210" s="383"/>
      <c r="AI210" s="383"/>
    </row>
    <row r="211" spans="2:35" ht="15" customHeight="1" x14ac:dyDescent="0.2">
      <c r="B211" s="97"/>
      <c r="M211" s="45"/>
      <c r="N211" s="45"/>
      <c r="O211" s="339" t="s">
        <v>1042</v>
      </c>
      <c r="P211" s="323" t="s">
        <v>219</v>
      </c>
      <c r="AE211" s="46"/>
      <c r="AF211" s="47"/>
      <c r="AG211" s="383"/>
      <c r="AH211" s="383"/>
      <c r="AI211" s="383"/>
    </row>
    <row r="212" spans="2:35" ht="15" customHeight="1" x14ac:dyDescent="0.2">
      <c r="B212" s="97"/>
      <c r="M212" s="45"/>
      <c r="N212" s="45"/>
      <c r="O212" s="339" t="s">
        <v>1043</v>
      </c>
      <c r="P212" s="323" t="s">
        <v>219</v>
      </c>
      <c r="AE212" s="46"/>
      <c r="AF212" s="47"/>
      <c r="AG212" s="383"/>
      <c r="AH212" s="383"/>
      <c r="AI212" s="383"/>
    </row>
    <row r="213" spans="2:35" ht="15" customHeight="1" x14ac:dyDescent="0.2">
      <c r="B213" s="97"/>
      <c r="M213" s="45"/>
      <c r="N213" s="45"/>
      <c r="O213" s="339" t="s">
        <v>1044</v>
      </c>
      <c r="P213" s="323" t="s">
        <v>219</v>
      </c>
      <c r="AE213" s="46"/>
      <c r="AF213" s="47"/>
      <c r="AG213" s="383"/>
      <c r="AH213" s="383"/>
      <c r="AI213" s="383"/>
    </row>
    <row r="214" spans="2:35" ht="15" customHeight="1" x14ac:dyDescent="0.2">
      <c r="B214" s="97"/>
      <c r="M214" s="45"/>
      <c r="N214" s="45"/>
      <c r="O214" s="339" t="s">
        <v>1045</v>
      </c>
      <c r="P214" s="323" t="s">
        <v>219</v>
      </c>
      <c r="AE214" s="46"/>
      <c r="AF214" s="47"/>
      <c r="AG214" s="383"/>
      <c r="AH214" s="383"/>
      <c r="AI214" s="383"/>
    </row>
    <row r="215" spans="2:35" ht="15" customHeight="1" x14ac:dyDescent="0.2">
      <c r="B215" s="97"/>
      <c r="M215" s="45"/>
      <c r="N215" s="45"/>
      <c r="O215" s="339" t="s">
        <v>1046</v>
      </c>
      <c r="P215" s="323" t="s">
        <v>219</v>
      </c>
      <c r="AE215" s="46"/>
      <c r="AF215" s="47"/>
      <c r="AG215" s="383"/>
      <c r="AH215" s="383"/>
      <c r="AI215" s="383"/>
    </row>
    <row r="216" spans="2:35" ht="15" customHeight="1" x14ac:dyDescent="0.2">
      <c r="B216" s="97"/>
      <c r="M216" s="45"/>
      <c r="N216" s="45"/>
      <c r="O216" s="339" t="s">
        <v>1047</v>
      </c>
      <c r="P216" s="323" t="s">
        <v>219</v>
      </c>
      <c r="T216" s="123"/>
      <c r="AE216" s="46"/>
      <c r="AF216" s="47"/>
      <c r="AG216" s="383"/>
      <c r="AH216" s="383"/>
      <c r="AI216" s="383"/>
    </row>
    <row r="217" spans="2:35" ht="15" customHeight="1" x14ac:dyDescent="0.2">
      <c r="B217" s="97"/>
      <c r="M217" s="45"/>
      <c r="N217" s="45"/>
      <c r="O217" s="339" t="s">
        <v>1048</v>
      </c>
      <c r="P217" s="323" t="s">
        <v>219</v>
      </c>
      <c r="T217" s="123"/>
      <c r="AE217" s="46"/>
      <c r="AF217" s="47"/>
      <c r="AG217" s="383"/>
      <c r="AH217" s="383"/>
      <c r="AI217" s="383"/>
    </row>
    <row r="218" spans="2:35" ht="15" customHeight="1" x14ac:dyDescent="0.2">
      <c r="B218" s="97"/>
      <c r="M218" s="45"/>
      <c r="N218" s="45"/>
      <c r="O218" s="339" t="s">
        <v>1049</v>
      </c>
      <c r="P218" s="323" t="s">
        <v>219</v>
      </c>
      <c r="T218" s="123"/>
      <c r="AE218" s="46"/>
      <c r="AF218" s="47"/>
      <c r="AG218" s="383"/>
      <c r="AH218" s="383"/>
      <c r="AI218" s="383"/>
    </row>
    <row r="219" spans="2:35" ht="15" customHeight="1" x14ac:dyDescent="0.2">
      <c r="B219" s="97"/>
      <c r="M219" s="45"/>
      <c r="N219" s="45"/>
      <c r="O219" s="339" t="s">
        <v>1050</v>
      </c>
      <c r="P219" s="323" t="s">
        <v>219</v>
      </c>
      <c r="Q219" s="333"/>
      <c r="T219" s="123"/>
      <c r="AE219" s="46"/>
      <c r="AF219" s="47"/>
      <c r="AG219" s="383"/>
      <c r="AH219" s="383"/>
      <c r="AI219" s="383"/>
    </row>
    <row r="220" spans="2:35" ht="15" customHeight="1" x14ac:dyDescent="0.2">
      <c r="B220" s="97"/>
      <c r="M220" s="45"/>
      <c r="N220" s="45"/>
      <c r="O220" s="339" t="s">
        <v>1051</v>
      </c>
      <c r="P220" s="323" t="s">
        <v>219</v>
      </c>
      <c r="Q220" s="333"/>
      <c r="T220" s="123"/>
      <c r="AE220" s="46"/>
      <c r="AF220" s="47"/>
      <c r="AG220" s="383"/>
      <c r="AH220" s="383"/>
      <c r="AI220" s="383"/>
    </row>
    <row r="221" spans="2:35" ht="15" customHeight="1" x14ac:dyDescent="0.2">
      <c r="B221" s="97"/>
      <c r="M221" s="45"/>
      <c r="N221" s="45"/>
      <c r="O221" s="339" t="s">
        <v>1052</v>
      </c>
      <c r="P221" s="323" t="s">
        <v>219</v>
      </c>
      <c r="Q221" s="333"/>
      <c r="T221" s="123"/>
      <c r="AE221" s="46"/>
      <c r="AF221" s="47"/>
      <c r="AG221" s="383"/>
      <c r="AH221" s="383"/>
      <c r="AI221" s="383"/>
    </row>
    <row r="222" spans="2:35" ht="15" customHeight="1" x14ac:dyDescent="0.2">
      <c r="B222" s="97"/>
      <c r="M222" s="45"/>
      <c r="N222" s="45"/>
      <c r="O222" s="339" t="s">
        <v>1053</v>
      </c>
      <c r="P222" s="323" t="s">
        <v>219</v>
      </c>
      <c r="Q222" s="333"/>
      <c r="T222" s="123"/>
      <c r="AE222" s="46"/>
      <c r="AF222" s="47"/>
      <c r="AG222" s="383"/>
      <c r="AH222" s="383"/>
      <c r="AI222" s="383"/>
    </row>
    <row r="223" spans="2:35" ht="15" customHeight="1" x14ac:dyDescent="0.2">
      <c r="B223" s="97"/>
      <c r="M223" s="45"/>
      <c r="N223" s="45"/>
      <c r="O223" s="339" t="s">
        <v>1054</v>
      </c>
      <c r="P223" s="323" t="s">
        <v>219</v>
      </c>
      <c r="Q223" s="333"/>
      <c r="T223" s="123"/>
      <c r="AE223" s="46"/>
      <c r="AF223" s="47"/>
      <c r="AG223" s="383"/>
      <c r="AH223" s="383"/>
      <c r="AI223" s="383"/>
    </row>
    <row r="224" spans="2:35" ht="15" customHeight="1" thickBot="1" x14ac:dyDescent="0.25">
      <c r="B224" s="97"/>
      <c r="M224" s="45"/>
      <c r="N224" s="45"/>
      <c r="O224" s="340" t="s">
        <v>1055</v>
      </c>
      <c r="P224" s="323" t="s">
        <v>219</v>
      </c>
      <c r="Q224" s="333"/>
      <c r="T224" s="123"/>
      <c r="AE224" s="46"/>
      <c r="AF224" s="47"/>
      <c r="AG224" s="383"/>
      <c r="AH224" s="383"/>
      <c r="AI224" s="383"/>
    </row>
    <row r="225" spans="2:35" ht="15" customHeight="1" thickBot="1" x14ac:dyDescent="0.25">
      <c r="B225" s="97"/>
      <c r="M225" s="45"/>
      <c r="N225" s="45"/>
      <c r="O225" s="342" t="s">
        <v>1056</v>
      </c>
      <c r="P225" s="323"/>
      <c r="Q225" s="333"/>
      <c r="T225" s="123"/>
      <c r="AE225" s="46"/>
      <c r="AF225" s="47"/>
      <c r="AG225" s="383"/>
      <c r="AH225" s="383"/>
      <c r="AI225" s="383"/>
    </row>
    <row r="226" spans="2:35" ht="15" customHeight="1" x14ac:dyDescent="0.2">
      <c r="B226" s="97"/>
      <c r="M226" s="45"/>
      <c r="N226" s="45"/>
      <c r="O226" s="337" t="s">
        <v>1057</v>
      </c>
      <c r="P226" s="326" t="s">
        <v>216</v>
      </c>
      <c r="T226" s="123"/>
      <c r="AE226" s="46"/>
      <c r="AF226" s="47"/>
      <c r="AG226" s="383"/>
      <c r="AH226" s="383"/>
      <c r="AI226" s="383"/>
    </row>
    <row r="227" spans="2:35" ht="15" customHeight="1" x14ac:dyDescent="0.2">
      <c r="B227" s="97"/>
      <c r="M227" s="45"/>
      <c r="N227" s="45"/>
      <c r="O227" s="338" t="s">
        <v>1058</v>
      </c>
      <c r="P227" s="326" t="s">
        <v>216</v>
      </c>
      <c r="T227" s="123"/>
      <c r="AE227" s="46"/>
      <c r="AF227" s="47"/>
      <c r="AG227" s="383"/>
      <c r="AH227" s="383"/>
      <c r="AI227" s="383"/>
    </row>
    <row r="228" spans="2:35" ht="15" customHeight="1" x14ac:dyDescent="0.2">
      <c r="B228" s="97"/>
      <c r="M228" s="45"/>
      <c r="N228" s="45"/>
      <c r="O228" s="339" t="s">
        <v>1059</v>
      </c>
      <c r="P228" s="323" t="s">
        <v>219</v>
      </c>
      <c r="T228" s="123"/>
      <c r="AE228" s="46"/>
      <c r="AF228" s="47"/>
      <c r="AG228" s="383"/>
      <c r="AH228" s="383"/>
      <c r="AI228" s="383"/>
    </row>
    <row r="229" spans="2:35" ht="15" customHeight="1" x14ac:dyDescent="0.2">
      <c r="B229" s="97"/>
      <c r="M229" s="45"/>
      <c r="N229" s="45"/>
      <c r="O229" s="339" t="s">
        <v>1060</v>
      </c>
      <c r="P229" s="323" t="s">
        <v>219</v>
      </c>
      <c r="T229" s="123"/>
      <c r="AE229" s="46"/>
      <c r="AF229" s="47"/>
      <c r="AG229" s="383"/>
      <c r="AH229" s="383"/>
      <c r="AI229" s="383"/>
    </row>
    <row r="230" spans="2:35" ht="15" customHeight="1" x14ac:dyDescent="0.2">
      <c r="B230" s="97"/>
      <c r="M230" s="45"/>
      <c r="N230" s="45"/>
      <c r="O230" s="339" t="s">
        <v>1061</v>
      </c>
      <c r="P230" s="323" t="s">
        <v>219</v>
      </c>
      <c r="T230" s="123"/>
      <c r="AE230" s="46"/>
      <c r="AF230" s="47"/>
      <c r="AG230" s="383"/>
      <c r="AH230" s="383"/>
      <c r="AI230" s="383"/>
    </row>
    <row r="231" spans="2:35" ht="15" customHeight="1" x14ac:dyDescent="0.2">
      <c r="B231" s="97"/>
      <c r="M231" s="45"/>
      <c r="N231" s="45"/>
      <c r="O231" s="339" t="s">
        <v>1062</v>
      </c>
      <c r="P231" s="323" t="s">
        <v>219</v>
      </c>
      <c r="T231" s="123"/>
      <c r="AE231" s="46"/>
      <c r="AF231" s="47"/>
      <c r="AG231" s="383"/>
      <c r="AH231" s="383"/>
      <c r="AI231" s="383"/>
    </row>
    <row r="232" spans="2:35" ht="15" customHeight="1" x14ac:dyDescent="0.2">
      <c r="B232" s="97"/>
      <c r="M232" s="45"/>
      <c r="N232" s="45"/>
      <c r="O232" s="339" t="s">
        <v>1063</v>
      </c>
      <c r="P232" s="323" t="s">
        <v>219</v>
      </c>
      <c r="T232" s="123"/>
      <c r="AE232" s="46"/>
      <c r="AF232" s="47"/>
      <c r="AG232" s="383"/>
      <c r="AH232" s="383"/>
      <c r="AI232" s="383"/>
    </row>
    <row r="233" spans="2:35" ht="15" customHeight="1" x14ac:dyDescent="0.2">
      <c r="B233" s="97"/>
      <c r="M233" s="45"/>
      <c r="N233" s="45"/>
      <c r="O233" s="339" t="s">
        <v>1064</v>
      </c>
      <c r="P233" s="323" t="s">
        <v>219</v>
      </c>
      <c r="T233" s="123"/>
      <c r="AE233" s="46"/>
      <c r="AF233" s="47"/>
      <c r="AG233" s="383"/>
      <c r="AH233" s="383"/>
      <c r="AI233" s="383"/>
    </row>
    <row r="234" spans="2:35" ht="15" customHeight="1" x14ac:dyDescent="0.2">
      <c r="B234" s="97"/>
      <c r="M234" s="45"/>
      <c r="N234" s="45"/>
      <c r="O234" s="339" t="s">
        <v>1065</v>
      </c>
      <c r="P234" s="323" t="s">
        <v>219</v>
      </c>
      <c r="T234" s="123"/>
      <c r="AE234" s="46"/>
      <c r="AF234" s="47"/>
      <c r="AG234" s="383"/>
      <c r="AH234" s="383"/>
      <c r="AI234" s="383"/>
    </row>
    <row r="235" spans="2:35" ht="15" customHeight="1" x14ac:dyDescent="0.2">
      <c r="B235" s="97"/>
      <c r="M235" s="45"/>
      <c r="N235" s="45"/>
      <c r="O235" s="339" t="s">
        <v>1066</v>
      </c>
      <c r="P235" s="323" t="s">
        <v>219</v>
      </c>
      <c r="T235" s="123"/>
      <c r="AE235" s="46"/>
      <c r="AF235" s="47"/>
      <c r="AG235" s="383"/>
      <c r="AH235" s="383"/>
      <c r="AI235" s="383"/>
    </row>
    <row r="236" spans="2:35" ht="15" customHeight="1" x14ac:dyDescent="0.2">
      <c r="B236" s="97"/>
      <c r="M236" s="45"/>
      <c r="N236" s="45"/>
      <c r="O236" s="339" t="s">
        <v>1067</v>
      </c>
      <c r="P236" s="323" t="s">
        <v>219</v>
      </c>
      <c r="T236" s="123"/>
      <c r="AE236" s="46"/>
      <c r="AF236" s="47"/>
      <c r="AG236" s="383"/>
      <c r="AH236" s="383"/>
      <c r="AI236" s="383"/>
    </row>
    <row r="237" spans="2:35" ht="15" customHeight="1" x14ac:dyDescent="0.2">
      <c r="B237" s="97"/>
      <c r="M237" s="45"/>
      <c r="N237" s="45"/>
      <c r="O237" s="339" t="s">
        <v>1068</v>
      </c>
      <c r="P237" s="323" t="s">
        <v>219</v>
      </c>
      <c r="T237" s="123"/>
      <c r="AE237" s="46"/>
      <c r="AF237" s="47"/>
      <c r="AG237" s="383"/>
      <c r="AH237" s="383"/>
      <c r="AI237" s="383"/>
    </row>
    <row r="238" spans="2:35" ht="15" customHeight="1" x14ac:dyDescent="0.2">
      <c r="B238" s="97"/>
      <c r="M238" s="45"/>
      <c r="N238" s="45"/>
      <c r="O238" s="339" t="s">
        <v>1069</v>
      </c>
      <c r="P238" s="323" t="s">
        <v>219</v>
      </c>
      <c r="T238" s="123"/>
      <c r="AE238" s="46"/>
      <c r="AF238" s="47"/>
      <c r="AG238" s="383"/>
      <c r="AH238" s="383"/>
      <c r="AI238" s="383"/>
    </row>
    <row r="239" spans="2:35" ht="15" customHeight="1" x14ac:dyDescent="0.2">
      <c r="B239" s="97"/>
      <c r="M239" s="45"/>
      <c r="N239" s="45"/>
      <c r="O239" s="339" t="s">
        <v>1070</v>
      </c>
      <c r="P239" s="323" t="s">
        <v>219</v>
      </c>
      <c r="T239" s="123"/>
      <c r="AE239" s="46"/>
      <c r="AF239" s="47"/>
      <c r="AG239" s="383"/>
      <c r="AH239" s="383"/>
      <c r="AI239" s="383"/>
    </row>
    <row r="240" spans="2:35" ht="15" customHeight="1" x14ac:dyDescent="0.2">
      <c r="B240" s="97"/>
      <c r="M240" s="45"/>
      <c r="N240" s="45"/>
      <c r="O240" s="339" t="s">
        <v>1071</v>
      </c>
      <c r="P240" s="323" t="s">
        <v>219</v>
      </c>
      <c r="T240" s="123"/>
      <c r="AE240" s="46"/>
      <c r="AF240" s="47"/>
      <c r="AG240" s="383"/>
      <c r="AH240" s="383"/>
      <c r="AI240" s="383"/>
    </row>
    <row r="241" spans="2:40" ht="15" customHeight="1" x14ac:dyDescent="0.2">
      <c r="B241" s="97"/>
      <c r="M241" s="45"/>
      <c r="N241" s="45"/>
      <c r="O241" s="339" t="s">
        <v>1072</v>
      </c>
      <c r="P241" s="323" t="s">
        <v>219</v>
      </c>
      <c r="T241" s="123"/>
      <c r="AE241" s="46"/>
      <c r="AF241" s="47"/>
      <c r="AG241" s="383"/>
      <c r="AH241" s="383"/>
      <c r="AI241" s="383"/>
    </row>
    <row r="242" spans="2:40" ht="15" customHeight="1" x14ac:dyDescent="0.2">
      <c r="B242" s="97"/>
      <c r="M242" s="45"/>
      <c r="N242" s="45"/>
      <c r="O242" s="339" t="s">
        <v>1073</v>
      </c>
      <c r="P242" s="323" t="s">
        <v>219</v>
      </c>
      <c r="T242" s="123"/>
      <c r="AE242" s="46"/>
      <c r="AF242" s="47"/>
      <c r="AG242" s="383"/>
      <c r="AH242" s="383"/>
      <c r="AI242" s="383"/>
    </row>
    <row r="243" spans="2:40" ht="15" customHeight="1" x14ac:dyDescent="0.2">
      <c r="B243" s="97"/>
      <c r="M243" s="45"/>
      <c r="N243" s="45"/>
      <c r="O243" s="350" t="s">
        <v>1074</v>
      </c>
      <c r="P243" s="323" t="s">
        <v>219</v>
      </c>
      <c r="Q243" s="353"/>
      <c r="T243" s="123"/>
      <c r="AE243" s="46"/>
      <c r="AF243" s="47"/>
      <c r="AG243" s="383"/>
      <c r="AH243" s="383"/>
      <c r="AI243" s="383"/>
    </row>
    <row r="244" spans="2:40" ht="15" customHeight="1" x14ac:dyDescent="0.2">
      <c r="B244" s="97"/>
      <c r="M244" s="45"/>
      <c r="N244" s="45"/>
      <c r="O244" s="350" t="s">
        <v>1075</v>
      </c>
      <c r="P244" s="323" t="s">
        <v>219</v>
      </c>
      <c r="Q244" s="353"/>
      <c r="T244" s="123"/>
      <c r="AJ244" s="46"/>
      <c r="AK244" s="47"/>
      <c r="AL244" s="383"/>
      <c r="AM244" s="383"/>
      <c r="AN244" s="383"/>
    </row>
    <row r="245" spans="2:40" ht="15" customHeight="1" x14ac:dyDescent="0.2">
      <c r="B245" s="97"/>
      <c r="O245" s="350" t="s">
        <v>1076</v>
      </c>
      <c r="P245" s="323" t="s">
        <v>219</v>
      </c>
      <c r="Q245" s="353"/>
      <c r="T245" s="123"/>
      <c r="AJ245" s="46"/>
      <c r="AK245" s="47"/>
      <c r="AL245" s="383"/>
      <c r="AM245" s="383"/>
      <c r="AN245" s="383"/>
    </row>
    <row r="246" spans="2:40" ht="15" customHeight="1" x14ac:dyDescent="0.2">
      <c r="B246" s="97"/>
      <c r="O246" s="350" t="s">
        <v>1077</v>
      </c>
      <c r="P246" s="323" t="s">
        <v>219</v>
      </c>
      <c r="Q246" s="353"/>
      <c r="T246" s="123"/>
      <c r="AJ246" s="46"/>
      <c r="AK246" s="47"/>
      <c r="AL246" s="383"/>
      <c r="AM246" s="383"/>
      <c r="AN246" s="383"/>
    </row>
    <row r="247" spans="2:40" ht="15" customHeight="1" thickBot="1" x14ac:dyDescent="0.25">
      <c r="B247" s="97"/>
      <c r="O247" s="349" t="s">
        <v>1078</v>
      </c>
      <c r="P247" s="323" t="s">
        <v>219</v>
      </c>
      <c r="Q247" s="353"/>
      <c r="T247" s="123"/>
      <c r="AJ247" s="46"/>
      <c r="AK247" s="47"/>
      <c r="AL247" s="383"/>
      <c r="AM247" s="383"/>
      <c r="AN247" s="383"/>
    </row>
    <row r="248" spans="2:40" ht="15" customHeight="1" thickBot="1" x14ac:dyDescent="0.25">
      <c r="B248" s="97"/>
      <c r="O248" s="336" t="s">
        <v>1079</v>
      </c>
      <c r="P248" s="326"/>
      <c r="T248" s="123"/>
      <c r="AJ248" s="46"/>
      <c r="AK248" s="47"/>
      <c r="AL248" s="383"/>
      <c r="AM248" s="383"/>
      <c r="AN248" s="383"/>
    </row>
    <row r="249" spans="2:40" ht="15" customHeight="1" x14ac:dyDescent="0.2">
      <c r="B249" s="97"/>
      <c r="O249" s="337" t="s">
        <v>1057</v>
      </c>
      <c r="P249" s="326" t="s">
        <v>216</v>
      </c>
      <c r="AJ249" s="46"/>
      <c r="AK249" s="47"/>
      <c r="AL249" s="383"/>
      <c r="AM249" s="383"/>
      <c r="AN249" s="383"/>
    </row>
    <row r="250" spans="2:40" ht="15" customHeight="1" x14ac:dyDescent="0.2">
      <c r="B250" s="97"/>
      <c r="O250" s="344" t="s">
        <v>1065</v>
      </c>
      <c r="P250" s="326" t="s">
        <v>216</v>
      </c>
      <c r="AJ250" s="46"/>
      <c r="AK250" s="47"/>
      <c r="AL250" s="383"/>
      <c r="AM250" s="383"/>
      <c r="AN250" s="383"/>
    </row>
    <row r="251" spans="2:40" ht="15" customHeight="1" x14ac:dyDescent="0.2">
      <c r="B251" s="97"/>
      <c r="O251" s="339" t="s">
        <v>1080</v>
      </c>
      <c r="P251" s="323" t="s">
        <v>219</v>
      </c>
      <c r="AJ251" s="46"/>
      <c r="AK251" s="47"/>
      <c r="AL251" s="383"/>
      <c r="AM251" s="383"/>
      <c r="AN251" s="383"/>
    </row>
    <row r="252" spans="2:40" ht="15" customHeight="1" x14ac:dyDescent="0.2">
      <c r="B252" s="97"/>
      <c r="O252" s="339" t="s">
        <v>1081</v>
      </c>
      <c r="P252" s="323" t="s">
        <v>219</v>
      </c>
      <c r="AJ252" s="46"/>
      <c r="AK252" s="47"/>
      <c r="AL252" s="383"/>
      <c r="AM252" s="383"/>
      <c r="AN252" s="383"/>
    </row>
    <row r="253" spans="2:40" ht="15" customHeight="1" x14ac:dyDescent="0.2">
      <c r="B253" s="97"/>
      <c r="O253" s="339" t="s">
        <v>1082</v>
      </c>
      <c r="P253" s="323" t="s">
        <v>219</v>
      </c>
      <c r="AJ253" s="46"/>
      <c r="AK253" s="47"/>
      <c r="AL253" s="383"/>
      <c r="AM253" s="383"/>
      <c r="AN253" s="383"/>
    </row>
    <row r="254" spans="2:40" ht="15" customHeight="1" x14ac:dyDescent="0.2">
      <c r="B254" s="97"/>
      <c r="O254" s="339" t="s">
        <v>1083</v>
      </c>
      <c r="P254" s="323" t="s">
        <v>219</v>
      </c>
      <c r="AJ254" s="46"/>
      <c r="AK254" s="47"/>
      <c r="AL254" s="383"/>
      <c r="AM254" s="383"/>
      <c r="AN254" s="383"/>
    </row>
    <row r="255" spans="2:40" ht="15" customHeight="1" x14ac:dyDescent="0.2">
      <c r="B255" s="97"/>
      <c r="O255" s="339" t="s">
        <v>1084</v>
      </c>
      <c r="P255" s="323" t="s">
        <v>219</v>
      </c>
      <c r="AJ255" s="46"/>
      <c r="AK255" s="47"/>
      <c r="AL255" s="383"/>
      <c r="AM255" s="383"/>
      <c r="AN255" s="383"/>
    </row>
    <row r="256" spans="2:40" ht="15" customHeight="1" x14ac:dyDescent="0.2">
      <c r="B256" s="97"/>
      <c r="O256" s="339" t="s">
        <v>1085</v>
      </c>
      <c r="P256" s="323" t="s">
        <v>219</v>
      </c>
      <c r="Q256" s="333"/>
      <c r="AJ256" s="46"/>
      <c r="AK256" s="47"/>
      <c r="AL256" s="383"/>
      <c r="AM256" s="383"/>
      <c r="AN256" s="383"/>
    </row>
    <row r="257" spans="2:40" ht="15" customHeight="1" x14ac:dyDescent="0.2">
      <c r="B257" s="97"/>
      <c r="O257" s="339" t="s">
        <v>1086</v>
      </c>
      <c r="P257" s="323" t="s">
        <v>219</v>
      </c>
      <c r="AJ257" s="46"/>
      <c r="AK257" s="47"/>
      <c r="AL257" s="383"/>
      <c r="AM257" s="383"/>
      <c r="AN257" s="383"/>
    </row>
    <row r="258" spans="2:40" ht="15" customHeight="1" x14ac:dyDescent="0.2">
      <c r="O258" s="339" t="s">
        <v>1087</v>
      </c>
      <c r="P258" s="323" t="s">
        <v>219</v>
      </c>
      <c r="AJ258" s="46"/>
      <c r="AK258" s="47"/>
      <c r="AL258" s="383"/>
      <c r="AM258" s="383"/>
      <c r="AN258" s="383"/>
    </row>
    <row r="259" spans="2:40" ht="15" customHeight="1" x14ac:dyDescent="0.2">
      <c r="B259" s="97"/>
      <c r="O259" s="339" t="s">
        <v>1088</v>
      </c>
      <c r="P259" s="323" t="s">
        <v>219</v>
      </c>
      <c r="AJ259" s="46"/>
      <c r="AK259" s="47"/>
      <c r="AL259" s="383"/>
      <c r="AM259" s="383"/>
      <c r="AN259" s="383"/>
    </row>
    <row r="260" spans="2:40" ht="15" customHeight="1" x14ac:dyDescent="0.2">
      <c r="B260" s="97"/>
      <c r="O260" s="339" t="s">
        <v>1089</v>
      </c>
      <c r="P260" s="323" t="s">
        <v>219</v>
      </c>
      <c r="AJ260" s="46"/>
      <c r="AK260" s="47"/>
      <c r="AL260" s="383"/>
      <c r="AM260" s="383"/>
      <c r="AN260" s="383"/>
    </row>
    <row r="261" spans="2:40" ht="15" customHeight="1" x14ac:dyDescent="0.2">
      <c r="B261" s="97"/>
      <c r="O261" s="339" t="s">
        <v>1090</v>
      </c>
      <c r="P261" s="323" t="s">
        <v>219</v>
      </c>
      <c r="AJ261" s="46"/>
      <c r="AK261" s="47"/>
      <c r="AL261" s="383"/>
      <c r="AM261" s="383"/>
      <c r="AN261" s="383"/>
    </row>
    <row r="262" spans="2:40" ht="15" customHeight="1" x14ac:dyDescent="0.2">
      <c r="B262" s="97"/>
      <c r="O262" s="339" t="s">
        <v>1091</v>
      </c>
      <c r="P262" s="323" t="s">
        <v>219</v>
      </c>
      <c r="Q262" s="333"/>
      <c r="AJ262" s="46"/>
      <c r="AK262" s="47"/>
      <c r="AL262" s="383"/>
      <c r="AM262" s="383"/>
      <c r="AN262" s="383"/>
    </row>
    <row r="263" spans="2:40" ht="15" customHeight="1" x14ac:dyDescent="0.2">
      <c r="B263" s="97"/>
      <c r="O263" s="339" t="s">
        <v>1092</v>
      </c>
      <c r="P263" s="323" t="s">
        <v>219</v>
      </c>
      <c r="AJ263" s="46"/>
      <c r="AK263" s="47"/>
      <c r="AL263" s="383"/>
      <c r="AM263" s="383"/>
      <c r="AN263" s="383"/>
    </row>
    <row r="264" spans="2:40" ht="15" customHeight="1" x14ac:dyDescent="0.2">
      <c r="B264" s="97"/>
      <c r="O264" s="339" t="s">
        <v>1093</v>
      </c>
      <c r="P264" s="323" t="s">
        <v>219</v>
      </c>
      <c r="Q264" s="353"/>
      <c r="AJ264" s="46"/>
      <c r="AK264" s="47"/>
      <c r="AL264" s="383"/>
      <c r="AM264" s="383"/>
      <c r="AN264" s="383"/>
    </row>
    <row r="265" spans="2:40" ht="15" customHeight="1" x14ac:dyDescent="0.2">
      <c r="O265" s="339" t="s">
        <v>1094</v>
      </c>
      <c r="P265" s="323" t="s">
        <v>219</v>
      </c>
      <c r="Q265" s="353"/>
      <c r="AJ265" s="46"/>
      <c r="AK265" s="47"/>
      <c r="AL265" s="383"/>
      <c r="AM265" s="383"/>
      <c r="AN265" s="383"/>
    </row>
    <row r="266" spans="2:40" ht="15" customHeight="1" x14ac:dyDescent="0.2">
      <c r="B266" s="97"/>
      <c r="O266" s="339" t="s">
        <v>1095</v>
      </c>
      <c r="P266" s="323" t="s">
        <v>219</v>
      </c>
      <c r="AJ266" s="46"/>
      <c r="AK266" s="47"/>
      <c r="AL266" s="383"/>
      <c r="AM266" s="383"/>
      <c r="AN266" s="383"/>
    </row>
    <row r="267" spans="2:40" ht="15" customHeight="1" x14ac:dyDescent="0.2">
      <c r="B267" s="97"/>
      <c r="O267" s="339" t="s">
        <v>1096</v>
      </c>
      <c r="P267" s="323" t="s">
        <v>219</v>
      </c>
      <c r="AJ267" s="46"/>
      <c r="AK267" s="47"/>
      <c r="AL267" s="383"/>
      <c r="AM267" s="383"/>
      <c r="AN267" s="383"/>
    </row>
    <row r="268" spans="2:40" ht="15" customHeight="1" x14ac:dyDescent="0.2">
      <c r="B268" s="97"/>
      <c r="O268" s="339" t="s">
        <v>1097</v>
      </c>
      <c r="P268" s="323" t="s">
        <v>219</v>
      </c>
      <c r="AJ268" s="46"/>
      <c r="AK268" s="47"/>
      <c r="AL268" s="383"/>
      <c r="AM268" s="383"/>
      <c r="AN268" s="383"/>
    </row>
    <row r="269" spans="2:40" ht="15" customHeight="1" x14ac:dyDescent="0.2">
      <c r="O269" s="350" t="s">
        <v>1098</v>
      </c>
      <c r="P269" s="323" t="s">
        <v>219</v>
      </c>
      <c r="AJ269" s="46"/>
      <c r="AK269" s="47"/>
      <c r="AL269" s="383"/>
      <c r="AM269" s="383"/>
      <c r="AN269" s="383"/>
    </row>
    <row r="270" spans="2:40" ht="15" customHeight="1" thickBot="1" x14ac:dyDescent="0.25">
      <c r="B270" s="97"/>
      <c r="O270" s="349" t="s">
        <v>1099</v>
      </c>
      <c r="P270" s="323" t="s">
        <v>219</v>
      </c>
      <c r="AJ270" s="46"/>
      <c r="AK270" s="47"/>
      <c r="AL270" s="383"/>
      <c r="AM270" s="383"/>
      <c r="AN270" s="383"/>
    </row>
    <row r="271" spans="2:40" ht="15" customHeight="1" thickBot="1" x14ac:dyDescent="0.25">
      <c r="B271" s="97"/>
      <c r="O271" s="336" t="s">
        <v>1100</v>
      </c>
      <c r="P271" s="323"/>
      <c r="AJ271" s="46"/>
      <c r="AK271" s="47"/>
      <c r="AL271" s="383"/>
      <c r="AM271" s="383"/>
      <c r="AN271" s="383"/>
    </row>
    <row r="272" spans="2:40" ht="15" customHeight="1" x14ac:dyDescent="0.2">
      <c r="B272" s="97"/>
      <c r="O272" s="337" t="s">
        <v>1101</v>
      </c>
      <c r="P272" s="326" t="s">
        <v>216</v>
      </c>
      <c r="AJ272" s="46"/>
      <c r="AK272" s="47"/>
      <c r="AL272" s="383"/>
      <c r="AM272" s="383"/>
      <c r="AN272" s="383"/>
    </row>
    <row r="273" spans="2:40" ht="15" customHeight="1" x14ac:dyDescent="0.2">
      <c r="O273" s="346" t="s">
        <v>1102</v>
      </c>
      <c r="P273" s="326" t="s">
        <v>216</v>
      </c>
      <c r="AJ273" s="46"/>
      <c r="AK273" s="47"/>
      <c r="AL273" s="383"/>
      <c r="AM273" s="383"/>
      <c r="AN273" s="383"/>
    </row>
    <row r="274" spans="2:40" ht="15" customHeight="1" x14ac:dyDescent="0.2">
      <c r="B274" s="97"/>
      <c r="O274" s="346" t="s">
        <v>1103</v>
      </c>
      <c r="P274" s="326" t="s">
        <v>216</v>
      </c>
      <c r="Q274" s="333"/>
      <c r="AJ274" s="46"/>
      <c r="AK274" s="47"/>
      <c r="AL274" s="383"/>
      <c r="AM274" s="383"/>
      <c r="AN274" s="383"/>
    </row>
    <row r="275" spans="2:40" ht="15" customHeight="1" x14ac:dyDescent="0.2">
      <c r="B275" s="97"/>
      <c r="O275" s="339" t="s">
        <v>1104</v>
      </c>
      <c r="P275" s="323" t="s">
        <v>219</v>
      </c>
      <c r="AJ275" s="46"/>
      <c r="AK275" s="47"/>
      <c r="AL275" s="383"/>
      <c r="AM275" s="383"/>
      <c r="AN275" s="383"/>
    </row>
    <row r="276" spans="2:40" ht="15" customHeight="1" x14ac:dyDescent="0.2">
      <c r="B276" s="97"/>
      <c r="O276" s="339" t="s">
        <v>1105</v>
      </c>
      <c r="P276" s="323" t="s">
        <v>219</v>
      </c>
      <c r="AJ276" s="46"/>
      <c r="AK276" s="47"/>
      <c r="AL276" s="383"/>
      <c r="AM276" s="383"/>
      <c r="AN276" s="383"/>
    </row>
    <row r="277" spans="2:40" ht="15" customHeight="1" x14ac:dyDescent="0.2">
      <c r="B277" s="97"/>
      <c r="O277" s="339" t="s">
        <v>1106</v>
      </c>
      <c r="P277" s="323" t="s">
        <v>219</v>
      </c>
      <c r="AJ277" s="46"/>
      <c r="AK277" s="47"/>
      <c r="AL277" s="383"/>
      <c r="AM277" s="383"/>
      <c r="AN277" s="383"/>
    </row>
    <row r="278" spans="2:40" ht="15" customHeight="1" x14ac:dyDescent="0.2">
      <c r="B278" s="97"/>
      <c r="O278" s="339" t="s">
        <v>1107</v>
      </c>
      <c r="P278" s="323" t="s">
        <v>219</v>
      </c>
      <c r="AJ278" s="46"/>
      <c r="AK278" s="47"/>
      <c r="AL278" s="383"/>
      <c r="AM278" s="383"/>
      <c r="AN278" s="383"/>
    </row>
    <row r="279" spans="2:40" ht="15" customHeight="1" x14ac:dyDescent="0.2">
      <c r="B279" s="97"/>
      <c r="O279" s="339" t="s">
        <v>1108</v>
      </c>
      <c r="P279" s="323" t="s">
        <v>219</v>
      </c>
      <c r="AJ279" s="46"/>
      <c r="AK279" s="47"/>
      <c r="AL279" s="383"/>
      <c r="AM279" s="383"/>
      <c r="AN279" s="383"/>
    </row>
    <row r="280" spans="2:40" ht="15" customHeight="1" x14ac:dyDescent="0.2">
      <c r="B280" s="97"/>
      <c r="O280" s="339" t="s">
        <v>1109</v>
      </c>
      <c r="P280" s="323" t="s">
        <v>219</v>
      </c>
      <c r="AJ280" s="46"/>
      <c r="AK280" s="47"/>
      <c r="AL280" s="383"/>
      <c r="AM280" s="383"/>
      <c r="AN280" s="383"/>
    </row>
    <row r="281" spans="2:40" ht="15" customHeight="1" x14ac:dyDescent="0.2">
      <c r="O281" s="339" t="s">
        <v>1110</v>
      </c>
      <c r="P281" s="323" t="s">
        <v>219</v>
      </c>
      <c r="AJ281" s="46"/>
      <c r="AK281" s="47"/>
      <c r="AL281" s="383"/>
      <c r="AM281" s="383"/>
      <c r="AN281" s="383"/>
    </row>
    <row r="282" spans="2:40" ht="15" customHeight="1" x14ac:dyDescent="0.2">
      <c r="B282" s="97"/>
      <c r="O282" s="339" t="s">
        <v>1111</v>
      </c>
      <c r="P282" s="323" t="s">
        <v>219</v>
      </c>
      <c r="AJ282" s="46"/>
      <c r="AK282" s="47"/>
      <c r="AL282" s="383"/>
      <c r="AM282" s="383"/>
      <c r="AN282" s="383"/>
    </row>
    <row r="283" spans="2:40" ht="15" customHeight="1" x14ac:dyDescent="0.2">
      <c r="O283" s="339" t="s">
        <v>1112</v>
      </c>
      <c r="P283" s="323" t="s">
        <v>219</v>
      </c>
      <c r="AJ283" s="46"/>
      <c r="AK283" s="47"/>
      <c r="AL283" s="383"/>
      <c r="AM283" s="383"/>
      <c r="AN283" s="383"/>
    </row>
    <row r="284" spans="2:40" ht="15" customHeight="1" x14ac:dyDescent="0.2">
      <c r="B284" s="97"/>
      <c r="O284" s="339" t="s">
        <v>1113</v>
      </c>
      <c r="P284" s="323" t="s">
        <v>219</v>
      </c>
      <c r="Q284" s="353"/>
      <c r="AJ284" s="46"/>
      <c r="AK284" s="47"/>
      <c r="AL284" s="383"/>
      <c r="AM284" s="383"/>
      <c r="AN284" s="383"/>
    </row>
    <row r="285" spans="2:40" ht="15" customHeight="1" x14ac:dyDescent="0.2">
      <c r="B285" s="97"/>
      <c r="O285" s="339" t="s">
        <v>1114</v>
      </c>
      <c r="P285" s="323" t="s">
        <v>219</v>
      </c>
      <c r="AJ285" s="46"/>
      <c r="AK285" s="47"/>
      <c r="AL285" s="383"/>
      <c r="AM285" s="383"/>
      <c r="AN285" s="383"/>
    </row>
    <row r="286" spans="2:40" ht="15" customHeight="1" x14ac:dyDescent="0.2">
      <c r="O286" s="339" t="s">
        <v>1115</v>
      </c>
      <c r="P286" s="323" t="s">
        <v>219</v>
      </c>
      <c r="AJ286" s="46"/>
      <c r="AK286" s="47"/>
      <c r="AL286" s="383"/>
      <c r="AM286" s="383"/>
      <c r="AN286" s="383"/>
    </row>
    <row r="287" spans="2:40" ht="15" customHeight="1" x14ac:dyDescent="0.2">
      <c r="O287" s="339" t="s">
        <v>1116</v>
      </c>
      <c r="P287" s="323" t="s">
        <v>219</v>
      </c>
      <c r="AJ287" s="46"/>
      <c r="AK287" s="47"/>
      <c r="AL287" s="383"/>
      <c r="AM287" s="383"/>
      <c r="AN287" s="383"/>
    </row>
    <row r="288" spans="2:40" ht="15" customHeight="1" x14ac:dyDescent="0.2">
      <c r="B288" s="128"/>
      <c r="O288" s="339" t="s">
        <v>1117</v>
      </c>
      <c r="P288" s="323" t="s">
        <v>219</v>
      </c>
      <c r="AJ288" s="46"/>
      <c r="AK288" s="47"/>
      <c r="AL288" s="383"/>
      <c r="AM288" s="383"/>
      <c r="AN288" s="383"/>
    </row>
    <row r="289" spans="2:40" ht="15" customHeight="1" thickBot="1" x14ac:dyDescent="0.25">
      <c r="B289" s="128"/>
      <c r="O289" s="349" t="s">
        <v>1118</v>
      </c>
      <c r="P289" s="323" t="s">
        <v>219</v>
      </c>
      <c r="AJ289" s="46"/>
      <c r="AK289" s="47"/>
      <c r="AL289" s="383"/>
      <c r="AM289" s="383"/>
      <c r="AN289" s="383"/>
    </row>
    <row r="290" spans="2:40" ht="15" customHeight="1" thickBot="1" x14ac:dyDescent="0.25">
      <c r="O290" s="341" t="s">
        <v>1119</v>
      </c>
      <c r="P290" s="323"/>
      <c r="AJ290" s="46"/>
      <c r="AK290" s="47"/>
      <c r="AL290" s="383"/>
      <c r="AM290" s="383"/>
      <c r="AN290" s="383"/>
    </row>
    <row r="291" spans="2:40" ht="15" customHeight="1" x14ac:dyDescent="0.2">
      <c r="B291" s="128"/>
      <c r="O291" s="337" t="s">
        <v>1120</v>
      </c>
      <c r="P291" s="326" t="s">
        <v>216</v>
      </c>
      <c r="AJ291" s="46"/>
      <c r="AK291" s="47"/>
      <c r="AL291" s="383"/>
      <c r="AM291" s="383"/>
      <c r="AN291" s="383"/>
    </row>
    <row r="292" spans="2:40" ht="15" customHeight="1" x14ac:dyDescent="0.2">
      <c r="B292" s="128"/>
      <c r="O292" s="338" t="s">
        <v>1121</v>
      </c>
      <c r="P292" s="326" t="s">
        <v>216</v>
      </c>
      <c r="AJ292" s="46"/>
      <c r="AK292" s="47"/>
      <c r="AL292" s="383"/>
      <c r="AM292" s="383"/>
      <c r="AN292" s="383"/>
    </row>
    <row r="293" spans="2:40" ht="15" customHeight="1" x14ac:dyDescent="0.2">
      <c r="B293" s="128"/>
      <c r="O293" s="339" t="s">
        <v>1122</v>
      </c>
      <c r="P293" s="323" t="s">
        <v>219</v>
      </c>
      <c r="AJ293" s="46"/>
      <c r="AK293" s="47"/>
      <c r="AL293" s="383"/>
      <c r="AM293" s="383"/>
      <c r="AN293" s="383"/>
    </row>
    <row r="294" spans="2:40" ht="15" customHeight="1" x14ac:dyDescent="0.2">
      <c r="O294" s="339" t="s">
        <v>1123</v>
      </c>
      <c r="P294" s="323" t="s">
        <v>219</v>
      </c>
      <c r="AJ294" s="46"/>
      <c r="AK294" s="47"/>
      <c r="AL294" s="383"/>
      <c r="AM294" s="383"/>
      <c r="AN294" s="383"/>
    </row>
    <row r="295" spans="2:40" ht="15" customHeight="1" x14ac:dyDescent="0.2">
      <c r="O295" s="339" t="s">
        <v>1124</v>
      </c>
      <c r="P295" s="323" t="s">
        <v>219</v>
      </c>
      <c r="AJ295" s="46"/>
      <c r="AK295" s="47"/>
      <c r="AL295" s="383"/>
      <c r="AM295" s="383"/>
      <c r="AN295" s="383"/>
    </row>
    <row r="296" spans="2:40" ht="15" customHeight="1" x14ac:dyDescent="0.2">
      <c r="O296" s="339" t="s">
        <v>1125</v>
      </c>
      <c r="P296" s="323" t="s">
        <v>219</v>
      </c>
      <c r="AJ296" s="46"/>
      <c r="AK296" s="47"/>
      <c r="AL296" s="383"/>
      <c r="AM296" s="383"/>
      <c r="AN296" s="383"/>
    </row>
    <row r="297" spans="2:40" ht="15" customHeight="1" x14ac:dyDescent="0.2">
      <c r="O297" s="339" t="s">
        <v>1126</v>
      </c>
      <c r="P297" s="323" t="s">
        <v>219</v>
      </c>
      <c r="Q297" s="333"/>
      <c r="AJ297" s="46"/>
      <c r="AK297" s="47"/>
      <c r="AL297" s="383"/>
      <c r="AM297" s="383"/>
      <c r="AN297" s="383"/>
    </row>
    <row r="298" spans="2:40" ht="15" customHeight="1" x14ac:dyDescent="0.2">
      <c r="O298" s="339" t="s">
        <v>1127</v>
      </c>
      <c r="P298" s="323" t="s">
        <v>219</v>
      </c>
      <c r="AJ298" s="46"/>
      <c r="AK298" s="47"/>
      <c r="AL298" s="383"/>
      <c r="AM298" s="383"/>
      <c r="AN298" s="383"/>
    </row>
    <row r="299" spans="2:40" ht="15" customHeight="1" x14ac:dyDescent="0.2">
      <c r="O299" s="339" t="s">
        <v>1128</v>
      </c>
      <c r="P299" s="323" t="s">
        <v>219</v>
      </c>
      <c r="AJ299" s="46"/>
      <c r="AK299" s="47"/>
      <c r="AL299" s="383"/>
      <c r="AM299" s="383"/>
      <c r="AN299" s="383"/>
    </row>
    <row r="300" spans="2:40" ht="15" customHeight="1" x14ac:dyDescent="0.2">
      <c r="O300" s="339" t="s">
        <v>1129</v>
      </c>
      <c r="P300" s="323" t="s">
        <v>219</v>
      </c>
      <c r="AJ300" s="46"/>
      <c r="AK300" s="47"/>
      <c r="AL300" s="383"/>
      <c r="AM300" s="383"/>
      <c r="AN300" s="383"/>
    </row>
    <row r="301" spans="2:40" ht="15" customHeight="1" x14ac:dyDescent="0.2">
      <c r="O301" s="339" t="s">
        <v>1130</v>
      </c>
      <c r="P301" s="323" t="s">
        <v>219</v>
      </c>
      <c r="AJ301" s="46"/>
      <c r="AK301" s="47"/>
      <c r="AL301" s="383"/>
      <c r="AM301" s="383"/>
      <c r="AN301" s="383"/>
    </row>
    <row r="302" spans="2:40" ht="15" customHeight="1" x14ac:dyDescent="0.2">
      <c r="O302" s="339" t="s">
        <v>1131</v>
      </c>
      <c r="P302" s="323" t="s">
        <v>219</v>
      </c>
      <c r="AJ302" s="46"/>
      <c r="AK302" s="47"/>
      <c r="AL302" s="383"/>
      <c r="AM302" s="383"/>
      <c r="AN302" s="383"/>
    </row>
    <row r="303" spans="2:40" ht="15" customHeight="1" x14ac:dyDescent="0.2">
      <c r="O303" s="339" t="s">
        <v>1132</v>
      </c>
      <c r="P303" s="323" t="s">
        <v>219</v>
      </c>
      <c r="AJ303" s="46"/>
      <c r="AK303" s="47"/>
      <c r="AL303" s="383"/>
      <c r="AM303" s="383"/>
      <c r="AN303" s="383"/>
    </row>
    <row r="304" spans="2:40" ht="15" customHeight="1" x14ac:dyDescent="0.2">
      <c r="O304" s="339" t="s">
        <v>1133</v>
      </c>
      <c r="P304" s="323" t="s">
        <v>219</v>
      </c>
      <c r="AJ304" s="46"/>
      <c r="AK304" s="47"/>
      <c r="AL304" s="383"/>
      <c r="AM304" s="383"/>
      <c r="AN304" s="383"/>
    </row>
    <row r="305" spans="15:40" ht="15" customHeight="1" x14ac:dyDescent="0.2">
      <c r="O305" s="339" t="s">
        <v>1134</v>
      </c>
      <c r="P305" s="323" t="s">
        <v>219</v>
      </c>
      <c r="AJ305" s="46"/>
      <c r="AK305" s="47"/>
      <c r="AL305" s="383"/>
      <c r="AM305" s="383"/>
      <c r="AN305" s="383"/>
    </row>
    <row r="306" spans="15:40" ht="15" customHeight="1" x14ac:dyDescent="0.2">
      <c r="O306" s="339" t="s">
        <v>1135</v>
      </c>
      <c r="P306" s="323" t="s">
        <v>219</v>
      </c>
      <c r="AJ306" s="46"/>
      <c r="AK306" s="47"/>
      <c r="AL306" s="383"/>
      <c r="AM306" s="383"/>
      <c r="AN306" s="383"/>
    </row>
    <row r="307" spans="15:40" ht="15" customHeight="1" x14ac:dyDescent="0.2">
      <c r="O307" s="339" t="s">
        <v>1136</v>
      </c>
      <c r="P307" s="323" t="s">
        <v>219</v>
      </c>
      <c r="AJ307" s="46"/>
      <c r="AK307" s="47"/>
      <c r="AL307" s="383"/>
      <c r="AM307" s="383"/>
      <c r="AN307" s="383"/>
    </row>
    <row r="308" spans="15:40" ht="15" customHeight="1" x14ac:dyDescent="0.2">
      <c r="O308" s="339" t="s">
        <v>1137</v>
      </c>
      <c r="P308" s="323" t="s">
        <v>219</v>
      </c>
      <c r="AJ308" s="46"/>
      <c r="AK308" s="47"/>
      <c r="AL308" s="383"/>
      <c r="AM308" s="383"/>
      <c r="AN308" s="383"/>
    </row>
    <row r="309" spans="15:40" ht="15" customHeight="1" x14ac:dyDescent="0.2">
      <c r="O309" s="339" t="s">
        <v>1138</v>
      </c>
      <c r="P309" s="323" t="s">
        <v>219</v>
      </c>
      <c r="AJ309" s="46"/>
      <c r="AK309" s="47"/>
      <c r="AL309" s="383"/>
      <c r="AM309" s="383"/>
      <c r="AN309" s="383"/>
    </row>
    <row r="310" spans="15:40" ht="15" customHeight="1" x14ac:dyDescent="0.2">
      <c r="O310" s="339" t="s">
        <v>1139</v>
      </c>
      <c r="P310" s="323" t="s">
        <v>219</v>
      </c>
      <c r="AJ310" s="46"/>
      <c r="AK310" s="47"/>
      <c r="AL310" s="383"/>
      <c r="AM310" s="383"/>
      <c r="AN310" s="383"/>
    </row>
    <row r="311" spans="15:40" ht="15" customHeight="1" x14ac:dyDescent="0.2">
      <c r="O311" s="339" t="s">
        <v>1140</v>
      </c>
      <c r="P311" s="323" t="s">
        <v>219</v>
      </c>
      <c r="AJ311" s="46"/>
      <c r="AK311" s="47"/>
      <c r="AL311" s="383"/>
      <c r="AM311" s="383"/>
      <c r="AN311" s="383"/>
    </row>
    <row r="312" spans="15:40" ht="15" customHeight="1" x14ac:dyDescent="0.2">
      <c r="O312" s="339" t="s">
        <v>1141</v>
      </c>
      <c r="P312" s="323" t="s">
        <v>219</v>
      </c>
      <c r="AJ312" s="46"/>
      <c r="AK312" s="47"/>
      <c r="AL312" s="383"/>
      <c r="AM312" s="383"/>
      <c r="AN312" s="383"/>
    </row>
    <row r="313" spans="15:40" ht="15" customHeight="1" x14ac:dyDescent="0.2">
      <c r="O313" s="339" t="s">
        <v>1142</v>
      </c>
      <c r="P313" s="323" t="s">
        <v>219</v>
      </c>
      <c r="AJ313" s="46"/>
      <c r="AK313" s="47"/>
      <c r="AL313" s="383"/>
      <c r="AM313" s="383"/>
      <c r="AN313" s="383"/>
    </row>
    <row r="314" spans="15:40" ht="15" customHeight="1" thickBot="1" x14ac:dyDescent="0.25">
      <c r="O314" s="340" t="s">
        <v>1143</v>
      </c>
      <c r="P314" s="323" t="s">
        <v>219</v>
      </c>
      <c r="AJ314" s="46"/>
      <c r="AK314" s="47"/>
      <c r="AL314" s="383"/>
      <c r="AM314" s="383"/>
      <c r="AN314" s="383"/>
    </row>
    <row r="315" spans="15:40" ht="15" customHeight="1" thickBot="1" x14ac:dyDescent="0.25">
      <c r="O315" s="336" t="s">
        <v>1144</v>
      </c>
      <c r="P315" s="323"/>
      <c r="AJ315" s="46"/>
      <c r="AK315" s="47"/>
      <c r="AL315" s="383"/>
      <c r="AM315" s="383"/>
      <c r="AN315" s="383"/>
    </row>
    <row r="316" spans="15:40" ht="15" customHeight="1" x14ac:dyDescent="0.2">
      <c r="O316" s="337" t="s">
        <v>1145</v>
      </c>
      <c r="P316" s="326" t="s">
        <v>216</v>
      </c>
      <c r="AJ316" s="46"/>
      <c r="AK316" s="47"/>
      <c r="AL316" s="383"/>
      <c r="AM316" s="383"/>
      <c r="AN316" s="383"/>
    </row>
    <row r="317" spans="15:40" ht="15" customHeight="1" x14ac:dyDescent="0.2">
      <c r="O317" s="339" t="s">
        <v>1146</v>
      </c>
      <c r="P317" s="323" t="s">
        <v>219</v>
      </c>
      <c r="AJ317" s="46"/>
      <c r="AK317" s="47"/>
      <c r="AL317" s="383"/>
      <c r="AM317" s="383"/>
      <c r="AN317" s="383"/>
    </row>
    <row r="318" spans="15:40" ht="15" customHeight="1" x14ac:dyDescent="0.2">
      <c r="O318" s="339" t="s">
        <v>1147</v>
      </c>
      <c r="P318" s="323" t="s">
        <v>219</v>
      </c>
      <c r="AJ318" s="46"/>
      <c r="AK318" s="47"/>
      <c r="AL318" s="383"/>
      <c r="AM318" s="383"/>
      <c r="AN318" s="383"/>
    </row>
    <row r="319" spans="15:40" ht="15" customHeight="1" x14ac:dyDescent="0.2">
      <c r="O319" s="339" t="s">
        <v>1148</v>
      </c>
      <c r="P319" s="323" t="s">
        <v>219</v>
      </c>
      <c r="AJ319" s="46"/>
      <c r="AK319" s="47"/>
      <c r="AL319" s="383"/>
      <c r="AM319" s="383"/>
      <c r="AN319" s="383"/>
    </row>
    <row r="320" spans="15:40" ht="15" customHeight="1" x14ac:dyDescent="0.2">
      <c r="O320" s="339" t="s">
        <v>1149</v>
      </c>
      <c r="P320" s="323" t="s">
        <v>219</v>
      </c>
      <c r="AJ320" s="46"/>
      <c r="AK320" s="47"/>
      <c r="AL320" s="383"/>
      <c r="AM320" s="383"/>
      <c r="AN320" s="383"/>
    </row>
    <row r="321" spans="15:40" ht="15" customHeight="1" x14ac:dyDescent="0.2">
      <c r="O321" s="339" t="s">
        <v>1150</v>
      </c>
      <c r="P321" s="323" t="s">
        <v>219</v>
      </c>
      <c r="AJ321" s="46"/>
      <c r="AK321" s="47"/>
      <c r="AL321" s="383"/>
      <c r="AM321" s="383"/>
      <c r="AN321" s="383"/>
    </row>
    <row r="322" spans="15:40" ht="15" customHeight="1" x14ac:dyDescent="0.2">
      <c r="O322" s="339" t="s">
        <v>1151</v>
      </c>
      <c r="P322" s="323" t="s">
        <v>219</v>
      </c>
      <c r="AJ322" s="46"/>
      <c r="AK322" s="47"/>
      <c r="AL322" s="383"/>
      <c r="AM322" s="383"/>
      <c r="AN322" s="383"/>
    </row>
    <row r="323" spans="15:40" ht="15" customHeight="1" x14ac:dyDescent="0.2">
      <c r="O323" s="339" t="s">
        <v>1152</v>
      </c>
      <c r="P323" s="323" t="s">
        <v>219</v>
      </c>
      <c r="AJ323" s="46"/>
      <c r="AK323" s="47"/>
      <c r="AL323" s="383"/>
      <c r="AM323" s="383"/>
      <c r="AN323" s="383"/>
    </row>
    <row r="324" spans="15:40" ht="15" customHeight="1" x14ac:dyDescent="0.2">
      <c r="O324" s="339" t="s">
        <v>1153</v>
      </c>
      <c r="P324" s="323" t="s">
        <v>219</v>
      </c>
      <c r="AJ324" s="46"/>
      <c r="AK324" s="47"/>
      <c r="AL324" s="383"/>
      <c r="AM324" s="383"/>
      <c r="AN324" s="383"/>
    </row>
    <row r="325" spans="15:40" ht="15" customHeight="1" x14ac:dyDescent="0.2">
      <c r="O325" s="339" t="s">
        <v>1154</v>
      </c>
      <c r="P325" s="323" t="s">
        <v>219</v>
      </c>
      <c r="AJ325" s="46"/>
      <c r="AK325" s="47"/>
      <c r="AL325" s="383"/>
      <c r="AM325" s="383"/>
      <c r="AN325" s="383"/>
    </row>
    <row r="326" spans="15:40" ht="15" customHeight="1" x14ac:dyDescent="0.2">
      <c r="O326" s="339" t="s">
        <v>1155</v>
      </c>
      <c r="P326" s="323" t="s">
        <v>219</v>
      </c>
      <c r="AJ326" s="46"/>
      <c r="AK326" s="47"/>
      <c r="AL326" s="383"/>
      <c r="AM326" s="383"/>
      <c r="AN326" s="383"/>
    </row>
    <row r="327" spans="15:40" ht="15" customHeight="1" x14ac:dyDescent="0.2">
      <c r="O327" s="339" t="s">
        <v>1156</v>
      </c>
      <c r="P327" s="323" t="s">
        <v>219</v>
      </c>
      <c r="AJ327" s="46"/>
      <c r="AK327" s="47"/>
      <c r="AL327" s="383"/>
      <c r="AM327" s="383"/>
      <c r="AN327" s="383"/>
    </row>
    <row r="328" spans="15:40" ht="15" customHeight="1" x14ac:dyDescent="0.2">
      <c r="O328" s="339" t="s">
        <v>1157</v>
      </c>
      <c r="P328" s="323" t="s">
        <v>219</v>
      </c>
      <c r="AJ328" s="46"/>
      <c r="AK328" s="47"/>
      <c r="AL328" s="383"/>
      <c r="AM328" s="383"/>
      <c r="AN328" s="383"/>
    </row>
    <row r="329" spans="15:40" ht="15" customHeight="1" x14ac:dyDescent="0.2">
      <c r="O329" s="339" t="s">
        <v>1158</v>
      </c>
      <c r="P329" s="323" t="s">
        <v>219</v>
      </c>
      <c r="AJ329" s="46"/>
      <c r="AK329" s="47"/>
      <c r="AL329" s="383"/>
      <c r="AM329" s="383"/>
      <c r="AN329" s="383"/>
    </row>
    <row r="330" spans="15:40" ht="15" customHeight="1" x14ac:dyDescent="0.2">
      <c r="O330" s="339" t="s">
        <v>1159</v>
      </c>
      <c r="P330" s="323" t="s">
        <v>219</v>
      </c>
      <c r="AJ330" s="46"/>
      <c r="AK330" s="47"/>
      <c r="AL330" s="383"/>
      <c r="AM330" s="383"/>
      <c r="AN330" s="383"/>
    </row>
    <row r="331" spans="15:40" ht="15" customHeight="1" thickBot="1" x14ac:dyDescent="0.25">
      <c r="O331" s="340" t="s">
        <v>1160</v>
      </c>
      <c r="P331" s="323" t="s">
        <v>219</v>
      </c>
      <c r="AJ331" s="46"/>
      <c r="AK331" s="47"/>
      <c r="AL331" s="383"/>
      <c r="AM331" s="383"/>
      <c r="AN331" s="383"/>
    </row>
    <row r="332" spans="15:40" ht="15" customHeight="1" thickBot="1" x14ac:dyDescent="0.25">
      <c r="O332" s="341" t="s">
        <v>1161</v>
      </c>
      <c r="P332" s="323"/>
      <c r="AJ332" s="46"/>
      <c r="AK332" s="47"/>
      <c r="AL332" s="383"/>
      <c r="AM332" s="383"/>
      <c r="AN332" s="383"/>
    </row>
    <row r="333" spans="15:40" ht="15" customHeight="1" x14ac:dyDescent="0.2">
      <c r="O333" s="337" t="s">
        <v>1162</v>
      </c>
      <c r="P333" s="326" t="s">
        <v>216</v>
      </c>
      <c r="AJ333" s="46"/>
      <c r="AK333" s="47"/>
      <c r="AL333" s="383"/>
      <c r="AM333" s="383"/>
      <c r="AN333" s="383"/>
    </row>
    <row r="334" spans="15:40" ht="15" customHeight="1" x14ac:dyDescent="0.2">
      <c r="O334" s="338" t="s">
        <v>1163</v>
      </c>
      <c r="P334" s="326" t="s">
        <v>216</v>
      </c>
      <c r="AJ334" s="46"/>
      <c r="AK334" s="47"/>
      <c r="AL334" s="383"/>
      <c r="AM334" s="383"/>
      <c r="AN334" s="383"/>
    </row>
    <row r="335" spans="15:40" ht="15" customHeight="1" x14ac:dyDescent="0.2">
      <c r="O335" s="339" t="s">
        <v>1164</v>
      </c>
      <c r="P335" s="323" t="s">
        <v>219</v>
      </c>
      <c r="AJ335" s="46"/>
      <c r="AK335" s="47"/>
      <c r="AL335" s="383"/>
      <c r="AM335" s="383"/>
      <c r="AN335" s="383"/>
    </row>
    <row r="336" spans="15:40" ht="15" customHeight="1" x14ac:dyDescent="0.2">
      <c r="O336" s="339" t="s">
        <v>1165</v>
      </c>
      <c r="P336" s="323" t="s">
        <v>219</v>
      </c>
      <c r="AJ336" s="46"/>
      <c r="AK336" s="47"/>
      <c r="AL336" s="383"/>
      <c r="AM336" s="383"/>
      <c r="AN336" s="383"/>
    </row>
    <row r="337" spans="15:40" ht="15" customHeight="1" x14ac:dyDescent="0.2">
      <c r="O337" s="339" t="s">
        <v>1166</v>
      </c>
      <c r="P337" s="323" t="s">
        <v>219</v>
      </c>
      <c r="AJ337" s="46"/>
      <c r="AK337" s="47"/>
      <c r="AL337" s="383"/>
      <c r="AM337" s="383"/>
      <c r="AN337" s="383"/>
    </row>
    <row r="338" spans="15:40" ht="15" customHeight="1" x14ac:dyDescent="0.2">
      <c r="O338" s="339" t="s">
        <v>1167</v>
      </c>
      <c r="P338" s="323" t="s">
        <v>219</v>
      </c>
      <c r="AJ338" s="46"/>
      <c r="AK338" s="47"/>
      <c r="AL338" s="383"/>
      <c r="AM338" s="383"/>
      <c r="AN338" s="383"/>
    </row>
    <row r="339" spans="15:40" ht="15" customHeight="1" x14ac:dyDescent="0.2">
      <c r="O339" s="339" t="s">
        <v>1168</v>
      </c>
      <c r="P339" s="323" t="s">
        <v>219</v>
      </c>
      <c r="AJ339" s="46"/>
      <c r="AK339" s="47"/>
      <c r="AL339" s="383"/>
      <c r="AM339" s="383"/>
      <c r="AN339" s="383"/>
    </row>
    <row r="340" spans="15:40" ht="15" customHeight="1" x14ac:dyDescent="0.2">
      <c r="O340" s="339" t="s">
        <v>1169</v>
      </c>
      <c r="P340" s="323" t="s">
        <v>219</v>
      </c>
      <c r="AJ340" s="46"/>
      <c r="AK340" s="47"/>
      <c r="AL340" s="383"/>
      <c r="AM340" s="383"/>
      <c r="AN340" s="383"/>
    </row>
    <row r="341" spans="15:40" ht="15" customHeight="1" x14ac:dyDescent="0.2">
      <c r="O341" s="339" t="s">
        <v>1170</v>
      </c>
      <c r="P341" s="323" t="s">
        <v>219</v>
      </c>
      <c r="AJ341" s="46"/>
      <c r="AK341" s="47"/>
      <c r="AL341" s="383"/>
      <c r="AM341" s="383"/>
      <c r="AN341" s="383"/>
    </row>
    <row r="342" spans="15:40" ht="15" customHeight="1" x14ac:dyDescent="0.2">
      <c r="O342" s="339" t="s">
        <v>1171</v>
      </c>
      <c r="P342" s="323" t="s">
        <v>219</v>
      </c>
      <c r="AJ342" s="46"/>
      <c r="AK342" s="47"/>
      <c r="AL342" s="383"/>
      <c r="AM342" s="383"/>
      <c r="AN342" s="383"/>
    </row>
    <row r="343" spans="15:40" ht="15" customHeight="1" x14ac:dyDescent="0.2">
      <c r="O343" s="339" t="s">
        <v>1172</v>
      </c>
      <c r="P343" s="323" t="s">
        <v>219</v>
      </c>
      <c r="AJ343" s="46"/>
      <c r="AK343" s="47"/>
      <c r="AL343" s="383"/>
      <c r="AM343" s="383"/>
      <c r="AN343" s="383"/>
    </row>
    <row r="344" spans="15:40" ht="15" customHeight="1" x14ac:dyDescent="0.2">
      <c r="O344" s="339" t="s">
        <v>1173</v>
      </c>
      <c r="P344" s="323" t="s">
        <v>219</v>
      </c>
      <c r="AJ344" s="46"/>
      <c r="AK344" s="47"/>
      <c r="AL344" s="383"/>
      <c r="AM344" s="383"/>
      <c r="AN344" s="383"/>
    </row>
    <row r="345" spans="15:40" ht="15" customHeight="1" x14ac:dyDescent="0.2">
      <c r="O345" s="339" t="s">
        <v>1174</v>
      </c>
      <c r="P345" s="323" t="s">
        <v>219</v>
      </c>
      <c r="AJ345" s="46"/>
      <c r="AK345" s="47"/>
      <c r="AL345" s="383"/>
      <c r="AM345" s="383"/>
      <c r="AN345" s="383"/>
    </row>
    <row r="346" spans="15:40" ht="15" customHeight="1" x14ac:dyDescent="0.2">
      <c r="O346" s="339" t="s">
        <v>1175</v>
      </c>
      <c r="P346" s="323" t="s">
        <v>219</v>
      </c>
      <c r="AJ346" s="46"/>
      <c r="AK346" s="47"/>
      <c r="AL346" s="383"/>
      <c r="AM346" s="383"/>
      <c r="AN346" s="383"/>
    </row>
    <row r="347" spans="15:40" ht="15" customHeight="1" x14ac:dyDescent="0.2">
      <c r="O347" s="339" t="s">
        <v>1176</v>
      </c>
      <c r="P347" s="323" t="s">
        <v>219</v>
      </c>
      <c r="AJ347" s="46"/>
      <c r="AK347" s="47"/>
      <c r="AL347" s="383"/>
      <c r="AM347" s="383"/>
      <c r="AN347" s="383"/>
    </row>
    <row r="348" spans="15:40" ht="15" customHeight="1" x14ac:dyDescent="0.2">
      <c r="O348" s="339" t="s">
        <v>1177</v>
      </c>
      <c r="P348" s="323" t="s">
        <v>219</v>
      </c>
      <c r="AJ348" s="46"/>
      <c r="AK348" s="47"/>
      <c r="AL348" s="383"/>
      <c r="AM348" s="383"/>
      <c r="AN348" s="383"/>
    </row>
    <row r="349" spans="15:40" ht="15" customHeight="1" x14ac:dyDescent="0.2">
      <c r="O349" s="339" t="s">
        <v>1178</v>
      </c>
      <c r="P349" s="323" t="s">
        <v>219</v>
      </c>
      <c r="AJ349" s="46"/>
      <c r="AK349" s="47"/>
      <c r="AL349" s="383"/>
      <c r="AM349" s="383"/>
      <c r="AN349" s="383"/>
    </row>
    <row r="350" spans="15:40" ht="15" customHeight="1" x14ac:dyDescent="0.2">
      <c r="O350" s="339" t="s">
        <v>1179</v>
      </c>
      <c r="P350" s="323" t="s">
        <v>219</v>
      </c>
      <c r="T350" s="55"/>
      <c r="AJ350" s="46"/>
      <c r="AK350" s="47"/>
      <c r="AL350" s="383"/>
      <c r="AM350" s="383"/>
      <c r="AN350" s="383"/>
    </row>
    <row r="351" spans="15:40" ht="15" customHeight="1" x14ac:dyDescent="0.2">
      <c r="O351" s="339" t="s">
        <v>1180</v>
      </c>
      <c r="P351" s="323" t="s">
        <v>219</v>
      </c>
      <c r="AJ351" s="46"/>
      <c r="AK351" s="47"/>
      <c r="AL351" s="383"/>
      <c r="AM351" s="383"/>
      <c r="AN351" s="383"/>
    </row>
    <row r="352" spans="15:40" ht="15" customHeight="1" thickBot="1" x14ac:dyDescent="0.25">
      <c r="O352" s="340" t="s">
        <v>1181</v>
      </c>
      <c r="P352" s="323" t="s">
        <v>219</v>
      </c>
      <c r="AJ352" s="46"/>
      <c r="AK352" s="47"/>
      <c r="AL352" s="383"/>
      <c r="AM352" s="383"/>
      <c r="AN352" s="383"/>
    </row>
    <row r="353" spans="15:40" ht="15" customHeight="1" thickBot="1" x14ac:dyDescent="0.25">
      <c r="O353" s="336" t="s">
        <v>1182</v>
      </c>
      <c r="P353" s="323"/>
      <c r="AJ353" s="46"/>
      <c r="AK353" s="47"/>
      <c r="AL353" s="383"/>
      <c r="AM353" s="383"/>
      <c r="AN353" s="383"/>
    </row>
    <row r="354" spans="15:40" ht="15" customHeight="1" x14ac:dyDescent="0.2">
      <c r="O354" s="337" t="s">
        <v>1183</v>
      </c>
      <c r="P354" s="326" t="s">
        <v>216</v>
      </c>
      <c r="AJ354" s="46"/>
      <c r="AK354" s="47"/>
      <c r="AL354" s="383"/>
      <c r="AM354" s="383"/>
      <c r="AN354" s="383"/>
    </row>
    <row r="355" spans="15:40" ht="15" customHeight="1" x14ac:dyDescent="0.2">
      <c r="O355" s="338" t="s">
        <v>1184</v>
      </c>
      <c r="P355" s="326" t="s">
        <v>216</v>
      </c>
      <c r="AJ355" s="46"/>
      <c r="AK355" s="47"/>
      <c r="AL355" s="383"/>
      <c r="AM355" s="383"/>
      <c r="AN355" s="383"/>
    </row>
    <row r="356" spans="15:40" ht="15" customHeight="1" x14ac:dyDescent="0.2">
      <c r="O356" s="338" t="s">
        <v>1185</v>
      </c>
      <c r="P356" s="326" t="s">
        <v>216</v>
      </c>
      <c r="AJ356" s="46"/>
      <c r="AK356" s="47"/>
      <c r="AL356" s="383"/>
      <c r="AM356" s="383"/>
      <c r="AN356" s="383"/>
    </row>
    <row r="357" spans="15:40" ht="15" customHeight="1" x14ac:dyDescent="0.2">
      <c r="O357" s="338" t="s">
        <v>1186</v>
      </c>
      <c r="P357" s="326" t="s">
        <v>216</v>
      </c>
      <c r="AJ357" s="46"/>
      <c r="AK357" s="47"/>
      <c r="AL357" s="383"/>
      <c r="AM357" s="383"/>
      <c r="AN357" s="383"/>
    </row>
    <row r="358" spans="15:40" ht="15" customHeight="1" x14ac:dyDescent="0.2">
      <c r="O358" s="338" t="s">
        <v>1187</v>
      </c>
      <c r="P358" s="326" t="s">
        <v>216</v>
      </c>
      <c r="AJ358" s="46"/>
      <c r="AK358" s="47"/>
      <c r="AL358" s="383"/>
      <c r="AM358" s="383"/>
      <c r="AN358" s="383"/>
    </row>
    <row r="359" spans="15:40" ht="15" customHeight="1" x14ac:dyDescent="0.2">
      <c r="O359" s="339" t="s">
        <v>1188</v>
      </c>
      <c r="P359" s="323" t="s">
        <v>219</v>
      </c>
      <c r="AJ359" s="46"/>
      <c r="AK359" s="47"/>
      <c r="AL359" s="383"/>
      <c r="AM359" s="383"/>
      <c r="AN359" s="383"/>
    </row>
    <row r="360" spans="15:40" ht="15" customHeight="1" x14ac:dyDescent="0.2">
      <c r="O360" s="339" t="s">
        <v>1189</v>
      </c>
      <c r="P360" s="323" t="s">
        <v>219</v>
      </c>
      <c r="AJ360" s="46"/>
      <c r="AK360" s="47"/>
      <c r="AL360" s="383"/>
      <c r="AM360" s="383"/>
      <c r="AN360" s="383"/>
    </row>
    <row r="361" spans="15:40" ht="15" customHeight="1" x14ac:dyDescent="0.2">
      <c r="O361" s="339" t="s">
        <v>1190</v>
      </c>
      <c r="P361" s="323" t="s">
        <v>219</v>
      </c>
      <c r="AJ361" s="46"/>
      <c r="AK361" s="47"/>
      <c r="AL361" s="383"/>
      <c r="AM361" s="383"/>
      <c r="AN361" s="383"/>
    </row>
    <row r="362" spans="15:40" ht="15" customHeight="1" x14ac:dyDescent="0.2">
      <c r="O362" s="339" t="s">
        <v>1191</v>
      </c>
      <c r="P362" s="323" t="s">
        <v>219</v>
      </c>
      <c r="AJ362" s="46"/>
      <c r="AK362" s="47"/>
      <c r="AL362" s="383"/>
      <c r="AM362" s="383"/>
      <c r="AN362" s="383"/>
    </row>
    <row r="363" spans="15:40" ht="15" customHeight="1" x14ac:dyDescent="0.2">
      <c r="O363" s="339" t="s">
        <v>1192</v>
      </c>
      <c r="P363" s="323" t="s">
        <v>219</v>
      </c>
      <c r="AJ363" s="46"/>
      <c r="AK363" s="47"/>
      <c r="AL363" s="383"/>
      <c r="AM363" s="383"/>
      <c r="AN363" s="383"/>
    </row>
    <row r="364" spans="15:40" ht="15" customHeight="1" x14ac:dyDescent="0.2">
      <c r="O364" s="339" t="s">
        <v>1193</v>
      </c>
      <c r="P364" s="323" t="s">
        <v>219</v>
      </c>
      <c r="AJ364" s="46"/>
      <c r="AK364" s="47"/>
      <c r="AL364" s="383"/>
      <c r="AM364" s="383"/>
      <c r="AN364" s="383"/>
    </row>
    <row r="365" spans="15:40" ht="15" customHeight="1" x14ac:dyDescent="0.2">
      <c r="O365" s="339" t="s">
        <v>1194</v>
      </c>
      <c r="P365" s="323" t="s">
        <v>219</v>
      </c>
      <c r="AJ365" s="46"/>
      <c r="AK365" s="47"/>
      <c r="AL365" s="383"/>
      <c r="AM365" s="383"/>
      <c r="AN365" s="383"/>
    </row>
    <row r="366" spans="15:40" ht="15" customHeight="1" x14ac:dyDescent="0.2">
      <c r="O366" s="339" t="s">
        <v>1195</v>
      </c>
      <c r="P366" s="323" t="s">
        <v>219</v>
      </c>
      <c r="AJ366" s="46"/>
      <c r="AK366" s="47"/>
      <c r="AL366" s="383"/>
      <c r="AM366" s="383"/>
      <c r="AN366" s="383"/>
    </row>
    <row r="367" spans="15:40" ht="15" customHeight="1" x14ac:dyDescent="0.2">
      <c r="O367" s="339" t="s">
        <v>1196</v>
      </c>
      <c r="P367" s="323" t="s">
        <v>219</v>
      </c>
      <c r="AJ367" s="46"/>
      <c r="AK367" s="47"/>
      <c r="AL367" s="383"/>
      <c r="AM367" s="383"/>
      <c r="AN367" s="383"/>
    </row>
    <row r="368" spans="15:40" ht="15" customHeight="1" x14ac:dyDescent="0.2">
      <c r="O368" s="339" t="s">
        <v>1197</v>
      </c>
      <c r="P368" s="323" t="s">
        <v>219</v>
      </c>
      <c r="AJ368" s="46"/>
      <c r="AK368" s="47"/>
      <c r="AL368" s="383"/>
      <c r="AM368" s="383"/>
      <c r="AN368" s="383"/>
    </row>
    <row r="369" spans="15:40" ht="15" customHeight="1" x14ac:dyDescent="0.2">
      <c r="O369" s="339" t="s">
        <v>1198</v>
      </c>
      <c r="P369" s="323" t="s">
        <v>219</v>
      </c>
      <c r="AJ369" s="46"/>
      <c r="AK369" s="47"/>
      <c r="AL369" s="383"/>
      <c r="AM369" s="383"/>
      <c r="AN369" s="383"/>
    </row>
    <row r="370" spans="15:40" ht="15" customHeight="1" x14ac:dyDescent="0.2">
      <c r="O370" s="339" t="s">
        <v>1199</v>
      </c>
      <c r="P370" s="323" t="s">
        <v>219</v>
      </c>
      <c r="AJ370" s="46"/>
      <c r="AK370" s="47"/>
      <c r="AL370" s="383"/>
      <c r="AM370" s="383"/>
      <c r="AN370" s="383"/>
    </row>
    <row r="371" spans="15:40" ht="15" customHeight="1" x14ac:dyDescent="0.2">
      <c r="O371" s="339" t="s">
        <v>1200</v>
      </c>
      <c r="P371" s="323" t="s">
        <v>219</v>
      </c>
      <c r="AJ371" s="46"/>
      <c r="AK371" s="47"/>
      <c r="AL371" s="383"/>
      <c r="AM371" s="383"/>
      <c r="AN371" s="383"/>
    </row>
    <row r="372" spans="15:40" ht="15" customHeight="1" x14ac:dyDescent="0.2">
      <c r="O372" s="339" t="s">
        <v>1201</v>
      </c>
      <c r="P372" s="323" t="s">
        <v>219</v>
      </c>
      <c r="Q372" s="333"/>
      <c r="AJ372" s="46"/>
      <c r="AK372" s="47"/>
      <c r="AL372" s="383"/>
      <c r="AM372" s="383"/>
      <c r="AN372" s="383"/>
    </row>
    <row r="373" spans="15:40" ht="15" customHeight="1" x14ac:dyDescent="0.2">
      <c r="O373" s="339" t="s">
        <v>1202</v>
      </c>
      <c r="P373" s="323" t="s">
        <v>219</v>
      </c>
      <c r="AJ373" s="46"/>
      <c r="AK373" s="47"/>
      <c r="AL373" s="383"/>
      <c r="AM373" s="383"/>
      <c r="AN373" s="383"/>
    </row>
    <row r="374" spans="15:40" ht="15" customHeight="1" x14ac:dyDescent="0.2">
      <c r="O374" s="339" t="s">
        <v>1203</v>
      </c>
      <c r="P374" s="323" t="s">
        <v>219</v>
      </c>
      <c r="AJ374" s="46"/>
      <c r="AK374" s="47"/>
      <c r="AL374" s="383"/>
      <c r="AM374" s="383"/>
      <c r="AN374" s="383"/>
    </row>
    <row r="375" spans="15:40" ht="15" customHeight="1" x14ac:dyDescent="0.2">
      <c r="O375" s="339" t="s">
        <v>1204</v>
      </c>
      <c r="P375" s="323" t="s">
        <v>219</v>
      </c>
      <c r="AJ375" s="46"/>
      <c r="AK375" s="47"/>
      <c r="AL375" s="383"/>
      <c r="AM375" s="383"/>
      <c r="AN375" s="383"/>
    </row>
    <row r="376" spans="15:40" ht="15" customHeight="1" x14ac:dyDescent="0.2">
      <c r="O376" s="339" t="s">
        <v>1205</v>
      </c>
      <c r="P376" s="323" t="s">
        <v>219</v>
      </c>
      <c r="AJ376" s="46"/>
      <c r="AK376" s="47"/>
      <c r="AL376" s="383"/>
      <c r="AM376" s="383"/>
      <c r="AN376" s="383"/>
    </row>
    <row r="377" spans="15:40" ht="15" customHeight="1" x14ac:dyDescent="0.2">
      <c r="O377" s="339" t="s">
        <v>1206</v>
      </c>
      <c r="P377" s="323" t="s">
        <v>219</v>
      </c>
      <c r="AJ377" s="46"/>
      <c r="AK377" s="47"/>
      <c r="AL377" s="383"/>
      <c r="AM377" s="383"/>
      <c r="AN377" s="383"/>
    </row>
    <row r="378" spans="15:40" ht="15" customHeight="1" x14ac:dyDescent="0.2">
      <c r="O378" s="339" t="s">
        <v>1207</v>
      </c>
      <c r="P378" s="323" t="s">
        <v>219</v>
      </c>
      <c r="AJ378" s="46"/>
      <c r="AK378" s="47"/>
      <c r="AL378" s="383"/>
      <c r="AM378" s="383"/>
      <c r="AN378" s="383"/>
    </row>
    <row r="379" spans="15:40" ht="15" customHeight="1" thickBot="1" x14ac:dyDescent="0.25">
      <c r="O379" s="340" t="s">
        <v>1208</v>
      </c>
      <c r="P379" s="323" t="s">
        <v>219</v>
      </c>
      <c r="AJ379" s="46"/>
      <c r="AK379" s="47"/>
      <c r="AL379" s="383"/>
      <c r="AM379" s="383"/>
      <c r="AN379" s="383"/>
    </row>
    <row r="380" spans="15:40" ht="15" customHeight="1" thickBot="1" x14ac:dyDescent="0.25">
      <c r="O380" s="345" t="s">
        <v>1209</v>
      </c>
      <c r="P380" s="323" t="s">
        <v>219</v>
      </c>
      <c r="AJ380" s="46"/>
      <c r="AK380" s="47"/>
      <c r="AL380" s="383"/>
      <c r="AM380" s="383"/>
      <c r="AN380" s="383"/>
    </row>
    <row r="381" spans="15:40" ht="15" customHeight="1" x14ac:dyDescent="0.2">
      <c r="O381" s="337" t="s">
        <v>1189</v>
      </c>
      <c r="P381" s="326" t="s">
        <v>216</v>
      </c>
      <c r="AJ381" s="46"/>
      <c r="AK381" s="47"/>
      <c r="AL381" s="383"/>
      <c r="AM381" s="383"/>
      <c r="AN381" s="383"/>
    </row>
    <row r="382" spans="15:40" ht="15" customHeight="1" x14ac:dyDescent="0.2">
      <c r="O382" s="338" t="s">
        <v>1192</v>
      </c>
      <c r="P382" s="326" t="s">
        <v>216</v>
      </c>
      <c r="AJ382" s="46"/>
      <c r="AK382" s="47"/>
      <c r="AL382" s="383"/>
      <c r="AM382" s="383"/>
      <c r="AN382" s="383"/>
    </row>
    <row r="383" spans="15:40" ht="15" customHeight="1" x14ac:dyDescent="0.2">
      <c r="O383" s="338" t="s">
        <v>1195</v>
      </c>
      <c r="P383" s="326" t="s">
        <v>216</v>
      </c>
      <c r="AJ383" s="46"/>
      <c r="AK383" s="47"/>
      <c r="AL383" s="383"/>
      <c r="AM383" s="383"/>
      <c r="AN383" s="383"/>
    </row>
    <row r="384" spans="15:40" ht="15" customHeight="1" x14ac:dyDescent="0.2">
      <c r="O384" s="338" t="s">
        <v>1210</v>
      </c>
      <c r="P384" s="326" t="s">
        <v>216</v>
      </c>
      <c r="AJ384" s="46"/>
      <c r="AK384" s="47"/>
      <c r="AL384" s="383"/>
      <c r="AM384" s="383"/>
      <c r="AN384" s="383"/>
    </row>
    <row r="385" spans="15:40" ht="15" customHeight="1" x14ac:dyDescent="0.2">
      <c r="O385" s="339" t="s">
        <v>1211</v>
      </c>
      <c r="P385" s="323" t="s">
        <v>219</v>
      </c>
      <c r="AJ385" s="46"/>
      <c r="AK385" s="47"/>
      <c r="AL385" s="383"/>
      <c r="AM385" s="383"/>
      <c r="AN385" s="383"/>
    </row>
    <row r="386" spans="15:40" ht="15" customHeight="1" x14ac:dyDescent="0.2">
      <c r="O386" s="339" t="s">
        <v>1212</v>
      </c>
      <c r="P386" s="323" t="s">
        <v>219</v>
      </c>
      <c r="AJ386" s="46"/>
      <c r="AK386" s="47"/>
      <c r="AL386" s="383"/>
      <c r="AM386" s="383"/>
      <c r="AN386" s="383"/>
    </row>
    <row r="387" spans="15:40" ht="15" customHeight="1" x14ac:dyDescent="0.2">
      <c r="O387" s="339" t="s">
        <v>1213</v>
      </c>
      <c r="P387" s="323" t="s">
        <v>219</v>
      </c>
      <c r="AJ387" s="46"/>
      <c r="AK387" s="47"/>
      <c r="AL387" s="383"/>
      <c r="AM387" s="383"/>
      <c r="AN387" s="383"/>
    </row>
    <row r="388" spans="15:40" ht="15" customHeight="1" x14ac:dyDescent="0.2">
      <c r="O388" s="339" t="s">
        <v>1214</v>
      </c>
      <c r="P388" s="323" t="s">
        <v>219</v>
      </c>
      <c r="AJ388" s="46"/>
      <c r="AK388" s="47"/>
      <c r="AL388" s="383"/>
      <c r="AM388" s="383"/>
      <c r="AN388" s="383"/>
    </row>
    <row r="389" spans="15:40" ht="15" customHeight="1" x14ac:dyDescent="0.2">
      <c r="O389" s="339" t="s">
        <v>1215</v>
      </c>
      <c r="P389" s="323" t="s">
        <v>219</v>
      </c>
      <c r="AJ389" s="46"/>
      <c r="AK389" s="47"/>
      <c r="AL389" s="383"/>
      <c r="AM389" s="383"/>
      <c r="AN389" s="383"/>
    </row>
    <row r="390" spans="15:40" ht="15" customHeight="1" x14ac:dyDescent="0.2">
      <c r="O390" s="339" t="s">
        <v>1216</v>
      </c>
      <c r="P390" s="323" t="s">
        <v>219</v>
      </c>
      <c r="AJ390" s="46"/>
      <c r="AK390" s="47"/>
      <c r="AL390" s="383"/>
      <c r="AM390" s="383"/>
      <c r="AN390" s="383"/>
    </row>
    <row r="391" spans="15:40" ht="15" customHeight="1" x14ac:dyDescent="0.2">
      <c r="O391" s="339" t="s">
        <v>1217</v>
      </c>
      <c r="P391" s="323" t="s">
        <v>219</v>
      </c>
      <c r="AJ391" s="46"/>
      <c r="AK391" s="47"/>
      <c r="AL391" s="383"/>
      <c r="AM391" s="383"/>
      <c r="AN391" s="383"/>
    </row>
    <row r="392" spans="15:40" ht="15" customHeight="1" x14ac:dyDescent="0.2">
      <c r="O392" s="339" t="s">
        <v>1218</v>
      </c>
      <c r="P392" s="323" t="s">
        <v>219</v>
      </c>
      <c r="AJ392" s="46"/>
      <c r="AK392" s="47"/>
      <c r="AL392" s="383"/>
      <c r="AM392" s="383"/>
      <c r="AN392" s="383"/>
    </row>
    <row r="393" spans="15:40" ht="15" customHeight="1" x14ac:dyDescent="0.2">
      <c r="O393" s="339" t="s">
        <v>1219</v>
      </c>
      <c r="P393" s="323" t="s">
        <v>219</v>
      </c>
      <c r="AJ393" s="46"/>
      <c r="AK393" s="47"/>
      <c r="AL393" s="383"/>
      <c r="AM393" s="383"/>
      <c r="AN393" s="383"/>
    </row>
    <row r="394" spans="15:40" ht="15" customHeight="1" x14ac:dyDescent="0.2">
      <c r="O394" s="339" t="s">
        <v>1220</v>
      </c>
      <c r="P394" s="323" t="s">
        <v>219</v>
      </c>
      <c r="AJ394" s="46"/>
      <c r="AK394" s="47"/>
      <c r="AL394" s="383"/>
      <c r="AM394" s="383"/>
      <c r="AN394" s="383"/>
    </row>
    <row r="395" spans="15:40" ht="15" customHeight="1" x14ac:dyDescent="0.2">
      <c r="O395" s="339" t="s">
        <v>1221</v>
      </c>
      <c r="P395" s="323" t="s">
        <v>219</v>
      </c>
      <c r="AJ395" s="46"/>
      <c r="AK395" s="47"/>
      <c r="AL395" s="383"/>
      <c r="AM395" s="383"/>
      <c r="AN395" s="383"/>
    </row>
    <row r="396" spans="15:40" ht="15" customHeight="1" x14ac:dyDescent="0.2">
      <c r="O396" s="339" t="s">
        <v>1222</v>
      </c>
      <c r="P396" s="323" t="s">
        <v>219</v>
      </c>
      <c r="AJ396" s="46"/>
      <c r="AK396" s="47"/>
      <c r="AL396" s="383"/>
      <c r="AM396" s="383"/>
      <c r="AN396" s="383"/>
    </row>
    <row r="397" spans="15:40" ht="15" customHeight="1" x14ac:dyDescent="0.2">
      <c r="O397" s="339" t="s">
        <v>1223</v>
      </c>
      <c r="P397" s="323" t="s">
        <v>219</v>
      </c>
      <c r="AJ397" s="46"/>
      <c r="AK397" s="47"/>
      <c r="AL397" s="383"/>
      <c r="AM397" s="383"/>
      <c r="AN397" s="383"/>
    </row>
    <row r="398" spans="15:40" ht="15" customHeight="1" x14ac:dyDescent="0.2">
      <c r="O398" s="339" t="s">
        <v>1224</v>
      </c>
      <c r="P398" s="323" t="s">
        <v>219</v>
      </c>
      <c r="Q398" s="353"/>
      <c r="AJ398" s="46"/>
      <c r="AK398" s="47"/>
      <c r="AL398" s="383"/>
      <c r="AM398" s="383"/>
      <c r="AN398" s="383"/>
    </row>
    <row r="399" spans="15:40" ht="15" customHeight="1" x14ac:dyDescent="0.2">
      <c r="O399" s="339" t="s">
        <v>1225</v>
      </c>
      <c r="P399" s="323" t="s">
        <v>219</v>
      </c>
      <c r="Q399" s="353"/>
      <c r="AJ399" s="46"/>
      <c r="AK399" s="47"/>
      <c r="AL399" s="383"/>
      <c r="AM399" s="383"/>
      <c r="AN399" s="383"/>
    </row>
    <row r="400" spans="15:40" ht="15" customHeight="1" x14ac:dyDescent="0.2">
      <c r="O400" s="339" t="s">
        <v>1226</v>
      </c>
      <c r="P400" s="323" t="s">
        <v>219</v>
      </c>
      <c r="Q400" s="333"/>
      <c r="AJ400" s="46"/>
      <c r="AK400" s="47"/>
      <c r="AL400" s="383"/>
      <c r="AM400" s="383"/>
      <c r="AN400" s="383"/>
    </row>
    <row r="401" spans="15:40" ht="15" customHeight="1" x14ac:dyDescent="0.2">
      <c r="O401" s="339" t="s">
        <v>1227</v>
      </c>
      <c r="P401" s="323" t="s">
        <v>219</v>
      </c>
      <c r="Q401" s="333"/>
      <c r="AJ401" s="46"/>
      <c r="AK401" s="47"/>
      <c r="AL401" s="383"/>
      <c r="AM401" s="383"/>
      <c r="AN401" s="383"/>
    </row>
    <row r="402" spans="15:40" ht="15" customHeight="1" x14ac:dyDescent="0.2">
      <c r="O402" s="339" t="s">
        <v>1228</v>
      </c>
      <c r="P402" s="354" t="s">
        <v>219</v>
      </c>
      <c r="Q402" s="333"/>
      <c r="AJ402" s="46"/>
      <c r="AK402" s="47"/>
      <c r="AL402" s="383"/>
      <c r="AM402" s="383"/>
      <c r="AN402" s="383"/>
    </row>
    <row r="403" spans="15:40" ht="15" customHeight="1" x14ac:dyDescent="0.2">
      <c r="O403" s="350" t="s">
        <v>1229</v>
      </c>
      <c r="P403" s="323" t="s">
        <v>219</v>
      </c>
      <c r="AJ403" s="46"/>
      <c r="AK403" s="47"/>
      <c r="AL403" s="383"/>
      <c r="AM403" s="383"/>
      <c r="AN403" s="383"/>
    </row>
    <row r="404" spans="15:40" ht="15" customHeight="1" thickBot="1" x14ac:dyDescent="0.25">
      <c r="O404" s="355" t="s">
        <v>1230</v>
      </c>
      <c r="P404" s="323" t="s">
        <v>219</v>
      </c>
      <c r="AJ404" s="46"/>
      <c r="AK404" s="47"/>
      <c r="AL404" s="383"/>
      <c r="AM404" s="383"/>
      <c r="AN404" s="383"/>
    </row>
    <row r="405" spans="15:40" ht="15" customHeight="1" thickBot="1" x14ac:dyDescent="0.25">
      <c r="O405" s="336" t="s">
        <v>1231</v>
      </c>
      <c r="P405" s="323"/>
      <c r="AJ405" s="46"/>
      <c r="AK405" s="47"/>
      <c r="AL405" s="383"/>
      <c r="AM405" s="383"/>
      <c r="AN405" s="383"/>
    </row>
    <row r="406" spans="15:40" ht="15" customHeight="1" x14ac:dyDescent="0.2">
      <c r="O406" s="337" t="s">
        <v>1232</v>
      </c>
      <c r="P406" s="326" t="s">
        <v>216</v>
      </c>
      <c r="AJ406" s="46"/>
      <c r="AK406" s="47"/>
      <c r="AL406" s="383"/>
      <c r="AM406" s="383"/>
      <c r="AN406" s="383"/>
    </row>
    <row r="407" spans="15:40" ht="15" customHeight="1" x14ac:dyDescent="0.2">
      <c r="O407" s="338" t="s">
        <v>1233</v>
      </c>
      <c r="P407" s="326" t="s">
        <v>216</v>
      </c>
      <c r="AJ407" s="46"/>
      <c r="AK407" s="47"/>
      <c r="AL407" s="383"/>
      <c r="AM407" s="383"/>
      <c r="AN407" s="383"/>
    </row>
    <row r="408" spans="15:40" ht="15" customHeight="1" x14ac:dyDescent="0.2">
      <c r="O408" s="339" t="s">
        <v>1234</v>
      </c>
      <c r="P408" s="323" t="s">
        <v>219</v>
      </c>
      <c r="AJ408" s="46"/>
      <c r="AK408" s="47"/>
      <c r="AL408" s="383"/>
      <c r="AM408" s="383"/>
      <c r="AN408" s="383"/>
    </row>
    <row r="409" spans="15:40" ht="15" customHeight="1" x14ac:dyDescent="0.2">
      <c r="O409" s="339" t="s">
        <v>1235</v>
      </c>
      <c r="P409" s="323" t="s">
        <v>219</v>
      </c>
      <c r="AJ409" s="46"/>
      <c r="AK409" s="47"/>
      <c r="AL409" s="383"/>
      <c r="AM409" s="383"/>
      <c r="AN409" s="383"/>
    </row>
    <row r="410" spans="15:40" ht="15" customHeight="1" x14ac:dyDescent="0.2">
      <c r="O410" s="339" t="s">
        <v>1236</v>
      </c>
      <c r="P410" s="323" t="s">
        <v>219</v>
      </c>
      <c r="AJ410" s="46"/>
      <c r="AK410" s="47"/>
      <c r="AL410" s="383"/>
      <c r="AM410" s="383"/>
      <c r="AN410" s="383"/>
    </row>
    <row r="411" spans="15:40" ht="15" customHeight="1" x14ac:dyDescent="0.2">
      <c r="O411" s="339" t="s">
        <v>1237</v>
      </c>
      <c r="P411" s="323" t="s">
        <v>219</v>
      </c>
      <c r="AJ411" s="46"/>
      <c r="AK411" s="47"/>
      <c r="AL411" s="383"/>
      <c r="AM411" s="383"/>
      <c r="AN411" s="383"/>
    </row>
    <row r="412" spans="15:40" ht="15" customHeight="1" x14ac:dyDescent="0.2">
      <c r="O412" s="339" t="s">
        <v>1238</v>
      </c>
      <c r="P412" s="323" t="s">
        <v>219</v>
      </c>
      <c r="AJ412" s="46"/>
      <c r="AK412" s="47"/>
      <c r="AL412" s="383"/>
      <c r="AM412" s="383"/>
      <c r="AN412" s="383"/>
    </row>
    <row r="413" spans="15:40" ht="15" customHeight="1" x14ac:dyDescent="0.2">
      <c r="O413" s="339" t="s">
        <v>1239</v>
      </c>
      <c r="P413" s="323" t="s">
        <v>219</v>
      </c>
      <c r="AJ413" s="46"/>
      <c r="AK413" s="47"/>
      <c r="AL413" s="383"/>
      <c r="AM413" s="383"/>
      <c r="AN413" s="383"/>
    </row>
    <row r="414" spans="15:40" ht="15" customHeight="1" x14ac:dyDescent="0.2">
      <c r="O414" s="339" t="s">
        <v>1240</v>
      </c>
      <c r="P414" s="323" t="s">
        <v>219</v>
      </c>
      <c r="AJ414" s="46"/>
      <c r="AK414" s="47"/>
      <c r="AL414" s="383"/>
      <c r="AM414" s="383"/>
      <c r="AN414" s="383"/>
    </row>
    <row r="415" spans="15:40" ht="15" customHeight="1" x14ac:dyDescent="0.2">
      <c r="O415" s="339" t="s">
        <v>1241</v>
      </c>
      <c r="P415" s="323" t="s">
        <v>219</v>
      </c>
      <c r="AJ415" s="46"/>
      <c r="AK415" s="47"/>
      <c r="AL415" s="383"/>
      <c r="AM415" s="383"/>
      <c r="AN415" s="383"/>
    </row>
    <row r="416" spans="15:40" ht="15" customHeight="1" x14ac:dyDescent="0.2">
      <c r="O416" s="339" t="s">
        <v>1242</v>
      </c>
      <c r="P416" s="323" t="s">
        <v>219</v>
      </c>
      <c r="AJ416" s="46"/>
      <c r="AK416" s="47"/>
      <c r="AL416" s="383"/>
      <c r="AM416" s="383"/>
      <c r="AN416" s="383"/>
    </row>
    <row r="417" spans="15:40" ht="15" customHeight="1" x14ac:dyDescent="0.2">
      <c r="O417" s="339" t="s">
        <v>1243</v>
      </c>
      <c r="P417" s="323" t="s">
        <v>219</v>
      </c>
      <c r="Q417" s="333"/>
      <c r="AJ417" s="46"/>
      <c r="AK417" s="47"/>
      <c r="AL417" s="383"/>
      <c r="AM417" s="383"/>
      <c r="AN417" s="383"/>
    </row>
    <row r="418" spans="15:40" ht="15" customHeight="1" x14ac:dyDescent="0.2">
      <c r="O418" s="339" t="s">
        <v>1244</v>
      </c>
      <c r="P418" s="323" t="s">
        <v>219</v>
      </c>
      <c r="AJ418" s="46"/>
      <c r="AK418" s="47"/>
      <c r="AL418" s="383"/>
      <c r="AM418" s="383"/>
      <c r="AN418" s="383"/>
    </row>
    <row r="419" spans="15:40" ht="15" customHeight="1" x14ac:dyDescent="0.2">
      <c r="O419" s="339" t="s">
        <v>1245</v>
      </c>
      <c r="P419" s="323" t="s">
        <v>219</v>
      </c>
      <c r="AJ419" s="46"/>
      <c r="AK419" s="47"/>
      <c r="AL419" s="383"/>
      <c r="AM419" s="383"/>
      <c r="AN419" s="383"/>
    </row>
    <row r="420" spans="15:40" ht="15" customHeight="1" x14ac:dyDescent="0.2">
      <c r="O420" s="339" t="s">
        <v>1246</v>
      </c>
      <c r="P420" s="323" t="s">
        <v>219</v>
      </c>
      <c r="AJ420" s="46"/>
      <c r="AK420" s="47"/>
      <c r="AL420" s="383"/>
      <c r="AM420" s="383"/>
      <c r="AN420" s="383"/>
    </row>
    <row r="421" spans="15:40" ht="15" customHeight="1" x14ac:dyDescent="0.2">
      <c r="O421" s="339" t="s">
        <v>1247</v>
      </c>
      <c r="P421" s="323" t="s">
        <v>219</v>
      </c>
      <c r="AJ421" s="46"/>
      <c r="AK421" s="47"/>
      <c r="AL421" s="383"/>
      <c r="AM421" s="383"/>
      <c r="AN421" s="383"/>
    </row>
    <row r="422" spans="15:40" ht="15" customHeight="1" x14ac:dyDescent="0.2">
      <c r="O422" s="339" t="s">
        <v>1248</v>
      </c>
      <c r="P422" s="323" t="s">
        <v>219</v>
      </c>
      <c r="AJ422" s="46"/>
      <c r="AK422" s="47"/>
      <c r="AL422" s="383"/>
      <c r="AM422" s="383"/>
      <c r="AN422" s="383"/>
    </row>
    <row r="423" spans="15:40" ht="15" customHeight="1" x14ac:dyDescent="0.2">
      <c r="O423" s="339" t="s">
        <v>1249</v>
      </c>
      <c r="P423" s="323" t="s">
        <v>219</v>
      </c>
      <c r="AJ423" s="46"/>
      <c r="AK423" s="47"/>
      <c r="AL423" s="383"/>
      <c r="AM423" s="383"/>
      <c r="AN423" s="383"/>
    </row>
    <row r="424" spans="15:40" ht="15" customHeight="1" x14ac:dyDescent="0.2">
      <c r="O424" s="339" t="s">
        <v>1250</v>
      </c>
      <c r="P424" s="323" t="s">
        <v>219</v>
      </c>
      <c r="AJ424" s="46"/>
      <c r="AK424" s="47"/>
      <c r="AL424" s="383"/>
      <c r="AM424" s="383"/>
      <c r="AN424" s="383"/>
    </row>
    <row r="425" spans="15:40" ht="15" customHeight="1" x14ac:dyDescent="0.2">
      <c r="O425" s="339" t="s">
        <v>1251</v>
      </c>
      <c r="P425" s="323" t="s">
        <v>219</v>
      </c>
      <c r="AJ425" s="46"/>
      <c r="AK425" s="47"/>
      <c r="AL425" s="383"/>
      <c r="AM425" s="383"/>
      <c r="AN425" s="383"/>
    </row>
    <row r="426" spans="15:40" ht="15" customHeight="1" x14ac:dyDescent="0.2">
      <c r="O426" s="339" t="s">
        <v>1252</v>
      </c>
      <c r="P426" s="323" t="s">
        <v>219</v>
      </c>
      <c r="AJ426" s="46"/>
      <c r="AK426" s="47"/>
      <c r="AL426" s="383"/>
      <c r="AM426" s="383"/>
      <c r="AN426" s="383"/>
    </row>
    <row r="427" spans="15:40" ht="15" customHeight="1" x14ac:dyDescent="0.2">
      <c r="O427" s="339" t="s">
        <v>1253</v>
      </c>
      <c r="P427" s="323" t="s">
        <v>219</v>
      </c>
      <c r="AJ427" s="46"/>
      <c r="AK427" s="47"/>
      <c r="AL427" s="383"/>
      <c r="AM427" s="383"/>
      <c r="AN427" s="383"/>
    </row>
    <row r="428" spans="15:40" ht="15" customHeight="1" x14ac:dyDescent="0.2">
      <c r="O428" s="339" t="s">
        <v>1254</v>
      </c>
      <c r="P428" s="323" t="s">
        <v>219</v>
      </c>
      <c r="AJ428" s="46"/>
      <c r="AK428" s="47"/>
      <c r="AL428" s="383"/>
      <c r="AM428" s="383"/>
      <c r="AN428" s="383"/>
    </row>
    <row r="429" spans="15:40" ht="15" customHeight="1" x14ac:dyDescent="0.2">
      <c r="O429" s="339" t="s">
        <v>1255</v>
      </c>
      <c r="P429" s="323" t="s">
        <v>219</v>
      </c>
      <c r="AJ429" s="46"/>
      <c r="AK429" s="47"/>
      <c r="AL429" s="383"/>
      <c r="AM429" s="383"/>
      <c r="AN429" s="383"/>
    </row>
    <row r="430" spans="15:40" ht="15" customHeight="1" x14ac:dyDescent="0.2">
      <c r="O430" s="339" t="s">
        <v>1256</v>
      </c>
      <c r="P430" s="323" t="s">
        <v>219</v>
      </c>
      <c r="AJ430" s="46"/>
      <c r="AK430" s="47"/>
      <c r="AL430" s="383"/>
      <c r="AM430" s="383"/>
      <c r="AN430" s="383"/>
    </row>
    <row r="431" spans="15:40" ht="15" customHeight="1" x14ac:dyDescent="0.2">
      <c r="O431" s="339" t="s">
        <v>1257</v>
      </c>
      <c r="P431" s="323" t="s">
        <v>219</v>
      </c>
      <c r="AJ431" s="46"/>
      <c r="AK431" s="47"/>
      <c r="AL431" s="383"/>
      <c r="AM431" s="383"/>
      <c r="AN431" s="383"/>
    </row>
    <row r="432" spans="15:40" ht="15" customHeight="1" x14ac:dyDescent="0.2">
      <c r="O432" s="339" t="s">
        <v>1258</v>
      </c>
      <c r="P432" s="323" t="s">
        <v>219</v>
      </c>
      <c r="AJ432" s="46"/>
      <c r="AK432" s="47"/>
      <c r="AL432" s="383"/>
      <c r="AM432" s="383"/>
      <c r="AN432" s="383"/>
    </row>
    <row r="433" spans="15:40" ht="15" customHeight="1" thickBot="1" x14ac:dyDescent="0.25">
      <c r="O433" s="340" t="s">
        <v>1259</v>
      </c>
      <c r="P433" s="323" t="s">
        <v>219</v>
      </c>
      <c r="AJ433" s="46"/>
      <c r="AK433" s="47"/>
      <c r="AL433" s="383"/>
      <c r="AM433" s="383"/>
      <c r="AN433" s="383"/>
    </row>
    <row r="434" spans="15:40" ht="15" customHeight="1" thickBot="1" x14ac:dyDescent="0.25">
      <c r="O434" s="345" t="s">
        <v>1260</v>
      </c>
      <c r="P434" s="323"/>
      <c r="AJ434" s="46"/>
      <c r="AK434" s="47"/>
      <c r="AL434" s="383"/>
      <c r="AM434" s="383"/>
      <c r="AN434" s="383"/>
    </row>
    <row r="435" spans="15:40" ht="15" customHeight="1" x14ac:dyDescent="0.2">
      <c r="O435" s="337" t="s">
        <v>1261</v>
      </c>
      <c r="P435" s="326" t="s">
        <v>216</v>
      </c>
      <c r="AJ435" s="46"/>
      <c r="AK435" s="47"/>
      <c r="AL435" s="383"/>
      <c r="AM435" s="383"/>
      <c r="AN435" s="383"/>
    </row>
    <row r="436" spans="15:40" ht="15" customHeight="1" x14ac:dyDescent="0.2">
      <c r="O436" s="338" t="s">
        <v>1262</v>
      </c>
      <c r="P436" s="326" t="s">
        <v>216</v>
      </c>
      <c r="AJ436" s="46"/>
      <c r="AK436" s="47"/>
      <c r="AL436" s="383"/>
      <c r="AM436" s="383"/>
      <c r="AN436" s="383"/>
    </row>
    <row r="437" spans="15:40" ht="15" customHeight="1" x14ac:dyDescent="0.2">
      <c r="O437" s="338" t="s">
        <v>1263</v>
      </c>
      <c r="P437" s="326" t="s">
        <v>216</v>
      </c>
      <c r="AJ437" s="46"/>
      <c r="AK437" s="47"/>
      <c r="AL437" s="383"/>
      <c r="AM437" s="383"/>
      <c r="AN437" s="383"/>
    </row>
    <row r="438" spans="15:40" ht="15" customHeight="1" x14ac:dyDescent="0.2">
      <c r="O438" s="338" t="s">
        <v>1264</v>
      </c>
      <c r="P438" s="326" t="s">
        <v>216</v>
      </c>
      <c r="AJ438" s="46"/>
      <c r="AK438" s="47"/>
      <c r="AL438" s="383"/>
      <c r="AM438" s="383"/>
      <c r="AN438" s="383"/>
    </row>
    <row r="439" spans="15:40" ht="15" customHeight="1" x14ac:dyDescent="0.2">
      <c r="O439" s="339" t="s">
        <v>1265</v>
      </c>
      <c r="P439" s="323" t="s">
        <v>219</v>
      </c>
      <c r="AJ439" s="46"/>
      <c r="AK439" s="47"/>
      <c r="AL439" s="383"/>
      <c r="AM439" s="383"/>
      <c r="AN439" s="383"/>
    </row>
    <row r="440" spans="15:40" ht="15" customHeight="1" x14ac:dyDescent="0.2">
      <c r="O440" s="339" t="s">
        <v>1266</v>
      </c>
      <c r="P440" s="323" t="s">
        <v>219</v>
      </c>
      <c r="AJ440" s="46"/>
      <c r="AK440" s="47"/>
      <c r="AL440" s="383"/>
      <c r="AM440" s="383"/>
      <c r="AN440" s="383"/>
    </row>
    <row r="441" spans="15:40" ht="15" customHeight="1" x14ac:dyDescent="0.2">
      <c r="O441" s="339" t="s">
        <v>1267</v>
      </c>
      <c r="P441" s="323" t="s">
        <v>219</v>
      </c>
      <c r="AJ441" s="46"/>
      <c r="AK441" s="47"/>
      <c r="AL441" s="383"/>
      <c r="AM441" s="383"/>
      <c r="AN441" s="383"/>
    </row>
    <row r="442" spans="15:40" ht="15" customHeight="1" x14ac:dyDescent="0.2">
      <c r="O442" s="339" t="s">
        <v>1268</v>
      </c>
      <c r="P442" s="323" t="s">
        <v>219</v>
      </c>
      <c r="AJ442" s="46"/>
      <c r="AK442" s="47"/>
      <c r="AL442" s="383"/>
      <c r="AM442" s="383"/>
      <c r="AN442" s="383"/>
    </row>
    <row r="443" spans="15:40" ht="15" customHeight="1" x14ac:dyDescent="0.2">
      <c r="O443" s="339" t="s">
        <v>1269</v>
      </c>
      <c r="P443" s="323" t="s">
        <v>219</v>
      </c>
      <c r="AJ443" s="46"/>
      <c r="AK443" s="47"/>
      <c r="AL443" s="383"/>
      <c r="AM443" s="383"/>
      <c r="AN443" s="383"/>
    </row>
    <row r="444" spans="15:40" ht="15" customHeight="1" x14ac:dyDescent="0.2">
      <c r="O444" s="339" t="s">
        <v>1270</v>
      </c>
      <c r="P444" s="323" t="s">
        <v>219</v>
      </c>
      <c r="AJ444" s="46"/>
      <c r="AK444" s="47"/>
      <c r="AL444" s="383"/>
      <c r="AM444" s="383"/>
      <c r="AN444" s="383"/>
    </row>
    <row r="445" spans="15:40" ht="15" customHeight="1" x14ac:dyDescent="0.2">
      <c r="O445" s="339" t="s">
        <v>1271</v>
      </c>
      <c r="P445" s="323" t="s">
        <v>219</v>
      </c>
      <c r="AJ445" s="46"/>
      <c r="AK445" s="47"/>
      <c r="AL445" s="383"/>
      <c r="AM445" s="383"/>
      <c r="AN445" s="383"/>
    </row>
    <row r="446" spans="15:40" ht="15" customHeight="1" x14ac:dyDescent="0.2">
      <c r="O446" s="339" t="s">
        <v>1272</v>
      </c>
      <c r="P446" s="323" t="s">
        <v>219</v>
      </c>
      <c r="AJ446" s="46"/>
      <c r="AK446" s="47"/>
      <c r="AL446" s="383"/>
      <c r="AM446" s="383"/>
      <c r="AN446" s="383"/>
    </row>
    <row r="447" spans="15:40" ht="15" customHeight="1" x14ac:dyDescent="0.2">
      <c r="O447" s="339" t="s">
        <v>1273</v>
      </c>
      <c r="P447" s="323" t="s">
        <v>219</v>
      </c>
      <c r="AJ447" s="46"/>
      <c r="AK447" s="47"/>
      <c r="AL447" s="383"/>
      <c r="AM447" s="383"/>
      <c r="AN447" s="383"/>
    </row>
    <row r="448" spans="15:40" ht="15" customHeight="1" x14ac:dyDescent="0.2">
      <c r="O448" s="339" t="s">
        <v>1274</v>
      </c>
      <c r="P448" s="323" t="s">
        <v>219</v>
      </c>
      <c r="AJ448" s="46"/>
      <c r="AK448" s="47"/>
      <c r="AL448" s="383"/>
      <c r="AM448" s="383"/>
      <c r="AN448" s="383"/>
    </row>
    <row r="449" spans="15:40" ht="15" customHeight="1" x14ac:dyDescent="0.2">
      <c r="O449" s="339" t="s">
        <v>1275</v>
      </c>
      <c r="P449" s="323" t="s">
        <v>219</v>
      </c>
      <c r="AJ449" s="46"/>
      <c r="AK449" s="47"/>
      <c r="AL449" s="383"/>
      <c r="AM449" s="383"/>
      <c r="AN449" s="383"/>
    </row>
    <row r="450" spans="15:40" ht="15" customHeight="1" x14ac:dyDescent="0.2">
      <c r="O450" s="339" t="s">
        <v>1276</v>
      </c>
      <c r="P450" s="323" t="s">
        <v>219</v>
      </c>
      <c r="AJ450" s="46"/>
      <c r="AK450" s="47"/>
      <c r="AL450" s="383"/>
      <c r="AM450" s="383"/>
      <c r="AN450" s="383"/>
    </row>
    <row r="451" spans="15:40" ht="15" customHeight="1" x14ac:dyDescent="0.2">
      <c r="O451" s="339" t="s">
        <v>1277</v>
      </c>
      <c r="P451" s="323" t="s">
        <v>219</v>
      </c>
      <c r="AJ451" s="46"/>
      <c r="AK451" s="47"/>
      <c r="AL451" s="383"/>
      <c r="AM451" s="383"/>
      <c r="AN451" s="383"/>
    </row>
    <row r="452" spans="15:40" ht="15" customHeight="1" x14ac:dyDescent="0.2">
      <c r="O452" s="339" t="s">
        <v>1278</v>
      </c>
      <c r="P452" s="323" t="s">
        <v>219</v>
      </c>
      <c r="AJ452" s="46"/>
      <c r="AK452" s="47"/>
      <c r="AL452" s="383"/>
      <c r="AM452" s="383"/>
      <c r="AN452" s="383"/>
    </row>
    <row r="453" spans="15:40" ht="15" customHeight="1" x14ac:dyDescent="0.2">
      <c r="O453" s="339" t="s">
        <v>1279</v>
      </c>
      <c r="P453" s="323" t="s">
        <v>219</v>
      </c>
      <c r="AJ453" s="46"/>
      <c r="AK453" s="47"/>
      <c r="AL453" s="383"/>
      <c r="AM453" s="383"/>
      <c r="AN453" s="383"/>
    </row>
    <row r="454" spans="15:40" ht="15" customHeight="1" x14ac:dyDescent="0.2">
      <c r="O454" s="339" t="s">
        <v>1280</v>
      </c>
      <c r="P454" s="323" t="s">
        <v>219</v>
      </c>
      <c r="AJ454" s="46"/>
      <c r="AK454" s="47"/>
      <c r="AL454" s="383"/>
      <c r="AM454" s="383"/>
      <c r="AN454" s="383"/>
    </row>
    <row r="455" spans="15:40" ht="15" customHeight="1" x14ac:dyDescent="0.2">
      <c r="O455" s="339" t="s">
        <v>1281</v>
      </c>
      <c r="P455" s="323" t="s">
        <v>219</v>
      </c>
      <c r="AJ455" s="46"/>
      <c r="AK455" s="47"/>
      <c r="AL455" s="383"/>
      <c r="AM455" s="383"/>
      <c r="AN455" s="383"/>
    </row>
    <row r="456" spans="15:40" ht="15" customHeight="1" x14ac:dyDescent="0.2">
      <c r="O456" s="339" t="s">
        <v>1282</v>
      </c>
      <c r="P456" s="323" t="s">
        <v>219</v>
      </c>
      <c r="AJ456" s="46"/>
      <c r="AK456" s="47"/>
      <c r="AL456" s="383"/>
      <c r="AM456" s="383"/>
      <c r="AN456" s="383"/>
    </row>
    <row r="457" spans="15:40" ht="15" customHeight="1" x14ac:dyDescent="0.2">
      <c r="O457" s="339" t="s">
        <v>1283</v>
      </c>
      <c r="P457" s="323" t="s">
        <v>219</v>
      </c>
      <c r="AJ457" s="46"/>
      <c r="AK457" s="47"/>
      <c r="AL457" s="383"/>
      <c r="AM457" s="383"/>
      <c r="AN457" s="383"/>
    </row>
    <row r="458" spans="15:40" ht="15" customHeight="1" x14ac:dyDescent="0.2">
      <c r="O458" s="339" t="s">
        <v>1284</v>
      </c>
      <c r="P458" s="323" t="s">
        <v>219</v>
      </c>
      <c r="AJ458" s="46"/>
      <c r="AK458" s="47"/>
      <c r="AL458" s="383"/>
      <c r="AM458" s="383"/>
      <c r="AN458" s="383"/>
    </row>
    <row r="459" spans="15:40" ht="15" customHeight="1" x14ac:dyDescent="0.2">
      <c r="O459" s="339" t="s">
        <v>1285</v>
      </c>
      <c r="P459" s="323" t="s">
        <v>219</v>
      </c>
      <c r="AJ459" s="46"/>
      <c r="AK459" s="47"/>
      <c r="AL459" s="383"/>
      <c r="AM459" s="383"/>
      <c r="AN459" s="383"/>
    </row>
    <row r="460" spans="15:40" ht="15" customHeight="1" x14ac:dyDescent="0.2">
      <c r="O460" s="339" t="s">
        <v>1286</v>
      </c>
      <c r="P460" s="323" t="s">
        <v>219</v>
      </c>
      <c r="Q460" s="353"/>
      <c r="AJ460" s="46"/>
      <c r="AK460" s="47"/>
      <c r="AL460" s="383"/>
      <c r="AM460" s="383"/>
      <c r="AN460" s="383"/>
    </row>
    <row r="461" spans="15:40" ht="15" customHeight="1" x14ac:dyDescent="0.2">
      <c r="O461" s="339" t="s">
        <v>1287</v>
      </c>
      <c r="P461" s="323" t="s">
        <v>219</v>
      </c>
      <c r="Q461" s="353"/>
      <c r="AJ461" s="46"/>
      <c r="AK461" s="47"/>
      <c r="AL461" s="383"/>
      <c r="AM461" s="383"/>
      <c r="AN461" s="383"/>
    </row>
    <row r="462" spans="15:40" ht="15" customHeight="1" x14ac:dyDescent="0.2">
      <c r="O462" s="339" t="s">
        <v>1288</v>
      </c>
      <c r="P462" s="323" t="s">
        <v>219</v>
      </c>
      <c r="Q462" s="353"/>
      <c r="AJ462" s="46"/>
      <c r="AK462" s="47"/>
      <c r="AL462" s="383"/>
      <c r="AM462" s="383"/>
      <c r="AN462" s="383"/>
    </row>
    <row r="463" spans="15:40" ht="15" customHeight="1" x14ac:dyDescent="0.2">
      <c r="O463" s="339" t="s">
        <v>1289</v>
      </c>
      <c r="P463" s="323" t="s">
        <v>219</v>
      </c>
      <c r="Q463" s="353"/>
      <c r="AJ463" s="46"/>
      <c r="AK463" s="47"/>
      <c r="AL463" s="383"/>
      <c r="AM463" s="383"/>
      <c r="AN463" s="383"/>
    </row>
    <row r="464" spans="15:40" ht="15" customHeight="1" x14ac:dyDescent="0.2">
      <c r="O464" s="339" t="s">
        <v>1290</v>
      </c>
      <c r="P464" s="323" t="s">
        <v>219</v>
      </c>
      <c r="Q464" s="353"/>
      <c r="AJ464" s="46"/>
      <c r="AK464" s="47"/>
      <c r="AL464" s="383"/>
      <c r="AM464" s="383"/>
      <c r="AN464" s="383"/>
    </row>
    <row r="465" spans="15:40" ht="15" customHeight="1" x14ac:dyDescent="0.2">
      <c r="O465" s="338" t="s">
        <v>1291</v>
      </c>
      <c r="P465" s="326" t="s">
        <v>216</v>
      </c>
      <c r="Q465" s="353"/>
      <c r="AJ465" s="46"/>
      <c r="AK465" s="47"/>
      <c r="AL465" s="383"/>
      <c r="AM465" s="383"/>
      <c r="AN465" s="383"/>
    </row>
    <row r="466" spans="15:40" ht="15" customHeight="1" x14ac:dyDescent="0.2">
      <c r="O466" s="338" t="s">
        <v>1292</v>
      </c>
      <c r="P466" s="326" t="s">
        <v>216</v>
      </c>
      <c r="Q466" s="353"/>
      <c r="AJ466" s="46"/>
      <c r="AK466" s="47"/>
      <c r="AL466" s="383"/>
      <c r="AM466" s="383"/>
      <c r="AN466" s="383"/>
    </row>
    <row r="467" spans="15:40" ht="15" customHeight="1" x14ac:dyDescent="0.2">
      <c r="O467" s="338" t="s">
        <v>1293</v>
      </c>
      <c r="P467" s="326" t="s">
        <v>216</v>
      </c>
      <c r="AJ467" s="46"/>
      <c r="AK467" s="47"/>
      <c r="AL467" s="383"/>
      <c r="AM467" s="383"/>
      <c r="AN467" s="383"/>
    </row>
    <row r="468" spans="15:40" ht="15" customHeight="1" x14ac:dyDescent="0.2">
      <c r="O468" s="350" t="s">
        <v>1294</v>
      </c>
      <c r="P468" s="323" t="s">
        <v>219</v>
      </c>
      <c r="AJ468" s="46"/>
      <c r="AK468" s="47"/>
      <c r="AL468" s="383"/>
      <c r="AM468" s="383"/>
      <c r="AN468" s="383"/>
    </row>
    <row r="469" spans="15:40" ht="15" customHeight="1" x14ac:dyDescent="0.2">
      <c r="O469" s="350" t="s">
        <v>1295</v>
      </c>
      <c r="P469" s="323" t="s">
        <v>219</v>
      </c>
      <c r="AJ469" s="46"/>
      <c r="AK469" s="47"/>
      <c r="AL469" s="383"/>
      <c r="AM469" s="383"/>
      <c r="AN469" s="383"/>
    </row>
    <row r="470" spans="15:40" ht="15" customHeight="1" x14ac:dyDescent="0.2">
      <c r="O470" s="350" t="s">
        <v>1296</v>
      </c>
      <c r="P470" s="323" t="s">
        <v>219</v>
      </c>
      <c r="AJ470" s="46"/>
      <c r="AK470" s="47"/>
      <c r="AL470" s="383"/>
      <c r="AM470" s="383"/>
      <c r="AN470" s="383"/>
    </row>
    <row r="471" spans="15:40" ht="15" customHeight="1" thickBot="1" x14ac:dyDescent="0.25">
      <c r="O471" s="349" t="s">
        <v>1297</v>
      </c>
      <c r="P471" s="323" t="s">
        <v>219</v>
      </c>
      <c r="AJ471" s="46"/>
      <c r="AK471" s="47"/>
      <c r="AL471" s="383"/>
      <c r="AM471" s="383"/>
      <c r="AN471" s="383"/>
    </row>
    <row r="472" spans="15:40" ht="15" customHeight="1" thickBot="1" x14ac:dyDescent="0.25">
      <c r="O472" s="336" t="s">
        <v>1298</v>
      </c>
      <c r="P472" s="323"/>
      <c r="AJ472" s="46"/>
      <c r="AK472" s="47"/>
      <c r="AL472" s="383"/>
      <c r="AM472" s="383"/>
      <c r="AN472" s="383"/>
    </row>
    <row r="473" spans="15:40" ht="15" customHeight="1" x14ac:dyDescent="0.2">
      <c r="O473" s="337" t="s">
        <v>1299</v>
      </c>
      <c r="P473" s="326" t="s">
        <v>216</v>
      </c>
      <c r="AJ473" s="46"/>
      <c r="AK473" s="47"/>
      <c r="AL473" s="383"/>
      <c r="AM473" s="383"/>
      <c r="AN473" s="383"/>
    </row>
    <row r="474" spans="15:40" ht="15" customHeight="1" x14ac:dyDescent="0.2">
      <c r="O474" s="338" t="s">
        <v>1300</v>
      </c>
      <c r="P474" s="326" t="s">
        <v>216</v>
      </c>
      <c r="Q474" s="333"/>
      <c r="AJ474" s="46"/>
      <c r="AK474" s="47"/>
      <c r="AL474" s="383"/>
      <c r="AM474" s="383"/>
      <c r="AN474" s="383"/>
    </row>
    <row r="475" spans="15:40" ht="15" customHeight="1" x14ac:dyDescent="0.2">
      <c r="O475" s="338" t="s">
        <v>1301</v>
      </c>
      <c r="P475" s="326" t="s">
        <v>216</v>
      </c>
      <c r="AJ475" s="46"/>
      <c r="AK475" s="47"/>
      <c r="AL475" s="383"/>
      <c r="AM475" s="383"/>
      <c r="AN475" s="383"/>
    </row>
    <row r="476" spans="15:40" ht="15" customHeight="1" x14ac:dyDescent="0.2">
      <c r="O476" s="339" t="s">
        <v>1302</v>
      </c>
      <c r="P476" s="323" t="s">
        <v>219</v>
      </c>
      <c r="AJ476" s="46"/>
      <c r="AK476" s="47"/>
      <c r="AL476" s="383"/>
      <c r="AM476" s="383"/>
      <c r="AN476" s="383"/>
    </row>
    <row r="477" spans="15:40" ht="15" customHeight="1" x14ac:dyDescent="0.2">
      <c r="O477" s="339" t="s">
        <v>1303</v>
      </c>
      <c r="P477" s="323" t="s">
        <v>219</v>
      </c>
      <c r="AJ477" s="46"/>
      <c r="AK477" s="47"/>
      <c r="AL477" s="383"/>
      <c r="AM477" s="383"/>
      <c r="AN477" s="383"/>
    </row>
    <row r="478" spans="15:40" ht="15" customHeight="1" x14ac:dyDescent="0.2">
      <c r="O478" s="339" t="s">
        <v>1304</v>
      </c>
      <c r="P478" s="323" t="s">
        <v>219</v>
      </c>
      <c r="AJ478" s="46"/>
      <c r="AK478" s="47"/>
      <c r="AL478" s="383"/>
      <c r="AM478" s="383"/>
      <c r="AN478" s="383"/>
    </row>
    <row r="479" spans="15:40" ht="15" customHeight="1" x14ac:dyDescent="0.2">
      <c r="O479" s="339" t="s">
        <v>1305</v>
      </c>
      <c r="P479" s="323" t="s">
        <v>219</v>
      </c>
      <c r="AJ479" s="46"/>
      <c r="AK479" s="47"/>
      <c r="AL479" s="383"/>
      <c r="AM479" s="383"/>
      <c r="AN479" s="383"/>
    </row>
    <row r="480" spans="15:40" ht="15" customHeight="1" x14ac:dyDescent="0.2">
      <c r="O480" s="339" t="s">
        <v>1306</v>
      </c>
      <c r="P480" s="323" t="s">
        <v>219</v>
      </c>
      <c r="AJ480" s="46"/>
      <c r="AK480" s="47"/>
      <c r="AL480" s="383"/>
      <c r="AM480" s="383"/>
      <c r="AN480" s="383"/>
    </row>
    <row r="481" spans="15:40" ht="15" customHeight="1" x14ac:dyDescent="0.2">
      <c r="O481" s="339" t="s">
        <v>1307</v>
      </c>
      <c r="P481" s="323" t="s">
        <v>219</v>
      </c>
      <c r="AJ481" s="46"/>
      <c r="AK481" s="47"/>
      <c r="AL481" s="383"/>
      <c r="AM481" s="383"/>
      <c r="AN481" s="383"/>
    </row>
    <row r="482" spans="15:40" ht="15" customHeight="1" x14ac:dyDescent="0.2">
      <c r="O482" s="339" t="s">
        <v>1308</v>
      </c>
      <c r="P482" s="323" t="s">
        <v>219</v>
      </c>
      <c r="AJ482" s="46"/>
      <c r="AK482" s="47"/>
      <c r="AL482" s="383"/>
      <c r="AM482" s="383"/>
      <c r="AN482" s="383"/>
    </row>
    <row r="483" spans="15:40" ht="15" customHeight="1" x14ac:dyDescent="0.2">
      <c r="O483" s="339" t="s">
        <v>1309</v>
      </c>
      <c r="P483" s="323" t="s">
        <v>219</v>
      </c>
      <c r="AJ483" s="46"/>
      <c r="AK483" s="47"/>
      <c r="AL483" s="383"/>
      <c r="AM483" s="383"/>
      <c r="AN483" s="383"/>
    </row>
    <row r="484" spans="15:40" ht="15" customHeight="1" x14ac:dyDescent="0.2">
      <c r="O484" s="339" t="s">
        <v>1310</v>
      </c>
      <c r="P484" s="323" t="s">
        <v>219</v>
      </c>
      <c r="AJ484" s="46"/>
      <c r="AK484" s="47"/>
      <c r="AL484" s="383"/>
      <c r="AM484" s="383"/>
      <c r="AN484" s="383"/>
    </row>
    <row r="485" spans="15:40" ht="15" customHeight="1" x14ac:dyDescent="0.2">
      <c r="O485" s="339" t="s">
        <v>1311</v>
      </c>
      <c r="P485" s="323" t="s">
        <v>219</v>
      </c>
      <c r="AJ485" s="46"/>
      <c r="AK485" s="47"/>
      <c r="AL485" s="383"/>
      <c r="AM485" s="383"/>
      <c r="AN485" s="383"/>
    </row>
    <row r="486" spans="15:40" ht="15" customHeight="1" x14ac:dyDescent="0.2">
      <c r="O486" s="339" t="s">
        <v>1312</v>
      </c>
      <c r="P486" s="323" t="s">
        <v>219</v>
      </c>
      <c r="AJ486" s="46"/>
      <c r="AK486" s="47"/>
      <c r="AL486" s="383"/>
      <c r="AM486" s="383"/>
      <c r="AN486" s="383"/>
    </row>
    <row r="487" spans="15:40" ht="15" customHeight="1" x14ac:dyDescent="0.2">
      <c r="O487" s="339" t="s">
        <v>1313</v>
      </c>
      <c r="P487" s="323" t="s">
        <v>219</v>
      </c>
      <c r="AJ487" s="46"/>
      <c r="AK487" s="47"/>
      <c r="AL487" s="383"/>
      <c r="AM487" s="383"/>
      <c r="AN487" s="383"/>
    </row>
    <row r="488" spans="15:40" ht="15" customHeight="1" x14ac:dyDescent="0.2">
      <c r="O488" s="339" t="s">
        <v>1314</v>
      </c>
      <c r="P488" s="323" t="s">
        <v>219</v>
      </c>
      <c r="AJ488" s="46"/>
      <c r="AK488" s="47"/>
      <c r="AL488" s="383"/>
      <c r="AM488" s="383"/>
      <c r="AN488" s="383"/>
    </row>
    <row r="489" spans="15:40" ht="15" customHeight="1" x14ac:dyDescent="0.2">
      <c r="O489" s="339" t="s">
        <v>1315</v>
      </c>
      <c r="P489" s="323" t="s">
        <v>219</v>
      </c>
      <c r="AJ489" s="46"/>
      <c r="AK489" s="47"/>
      <c r="AL489" s="383"/>
      <c r="AM489" s="383"/>
      <c r="AN489" s="383"/>
    </row>
    <row r="490" spans="15:40" ht="15" customHeight="1" x14ac:dyDescent="0.2">
      <c r="O490" s="339" t="s">
        <v>1316</v>
      </c>
      <c r="P490" s="323" t="s">
        <v>219</v>
      </c>
      <c r="AJ490" s="46"/>
      <c r="AK490" s="47"/>
      <c r="AL490" s="383"/>
      <c r="AM490" s="383"/>
      <c r="AN490" s="383"/>
    </row>
    <row r="491" spans="15:40" ht="15" customHeight="1" x14ac:dyDescent="0.2">
      <c r="O491" s="339" t="s">
        <v>1317</v>
      </c>
      <c r="P491" s="323" t="s">
        <v>219</v>
      </c>
      <c r="AJ491" s="46"/>
      <c r="AK491" s="47"/>
      <c r="AL491" s="383"/>
      <c r="AM491" s="383"/>
      <c r="AN491" s="383"/>
    </row>
    <row r="492" spans="15:40" ht="15" customHeight="1" x14ac:dyDescent="0.2">
      <c r="O492" s="339" t="s">
        <v>1318</v>
      </c>
      <c r="P492" s="323" t="s">
        <v>219</v>
      </c>
      <c r="AJ492" s="46"/>
      <c r="AK492" s="47"/>
      <c r="AL492" s="383"/>
      <c r="AM492" s="383"/>
      <c r="AN492" s="383"/>
    </row>
    <row r="493" spans="15:40" ht="15" customHeight="1" x14ac:dyDescent="0.2">
      <c r="O493" s="339" t="s">
        <v>1319</v>
      </c>
      <c r="P493" s="323" t="s">
        <v>219</v>
      </c>
      <c r="AJ493" s="46"/>
      <c r="AK493" s="47"/>
      <c r="AL493" s="383"/>
      <c r="AM493" s="383"/>
      <c r="AN493" s="383"/>
    </row>
    <row r="494" spans="15:40" ht="15" customHeight="1" thickBot="1" x14ac:dyDescent="0.25">
      <c r="O494" s="340" t="s">
        <v>1320</v>
      </c>
      <c r="P494" s="323" t="s">
        <v>219</v>
      </c>
      <c r="AJ494" s="46"/>
      <c r="AK494" s="47"/>
      <c r="AL494" s="383"/>
      <c r="AM494" s="383"/>
      <c r="AN494" s="383"/>
    </row>
    <row r="495" spans="15:40" ht="15" customHeight="1" thickBot="1" x14ac:dyDescent="0.25">
      <c r="O495" s="336" t="s">
        <v>1321</v>
      </c>
      <c r="P495" s="323"/>
      <c r="AJ495" s="46"/>
      <c r="AK495" s="47"/>
      <c r="AL495" s="383"/>
      <c r="AM495" s="383"/>
      <c r="AN495" s="383"/>
    </row>
    <row r="496" spans="15:40" ht="15" customHeight="1" x14ac:dyDescent="0.2">
      <c r="O496" s="337" t="s">
        <v>1299</v>
      </c>
      <c r="P496" s="326" t="s">
        <v>216</v>
      </c>
      <c r="AJ496" s="46"/>
      <c r="AK496" s="47"/>
      <c r="AL496" s="383"/>
      <c r="AM496" s="383"/>
      <c r="AN496" s="383"/>
    </row>
    <row r="497" spans="15:40" ht="15" customHeight="1" x14ac:dyDescent="0.2">
      <c r="O497" s="338" t="s">
        <v>1322</v>
      </c>
      <c r="P497" s="326" t="s">
        <v>216</v>
      </c>
      <c r="AJ497" s="46"/>
      <c r="AK497" s="47"/>
      <c r="AL497" s="383"/>
      <c r="AM497" s="383"/>
      <c r="AN497" s="383"/>
    </row>
    <row r="498" spans="15:40" ht="15" customHeight="1" x14ac:dyDescent="0.2">
      <c r="O498" s="338" t="s">
        <v>1301</v>
      </c>
      <c r="P498" s="326" t="s">
        <v>216</v>
      </c>
      <c r="AJ498" s="46"/>
      <c r="AK498" s="47"/>
      <c r="AL498" s="383"/>
      <c r="AM498" s="383"/>
      <c r="AN498" s="383"/>
    </row>
    <row r="499" spans="15:40" ht="15" customHeight="1" x14ac:dyDescent="0.2">
      <c r="O499" s="339" t="s">
        <v>1300</v>
      </c>
      <c r="P499" s="323" t="s">
        <v>219</v>
      </c>
      <c r="AJ499" s="46"/>
      <c r="AK499" s="47"/>
      <c r="AL499" s="383"/>
      <c r="AM499" s="383"/>
      <c r="AN499" s="383"/>
    </row>
    <row r="500" spans="15:40" ht="15" customHeight="1" x14ac:dyDescent="0.2">
      <c r="O500" s="339" t="s">
        <v>1323</v>
      </c>
      <c r="P500" s="323" t="s">
        <v>219</v>
      </c>
      <c r="AJ500" s="46"/>
      <c r="AK500" s="47"/>
      <c r="AL500" s="383"/>
      <c r="AM500" s="383"/>
      <c r="AN500" s="383"/>
    </row>
    <row r="501" spans="15:40" ht="15" customHeight="1" x14ac:dyDescent="0.2">
      <c r="O501" s="339" t="s">
        <v>1324</v>
      </c>
      <c r="P501" s="323" t="s">
        <v>219</v>
      </c>
      <c r="AJ501" s="46"/>
      <c r="AK501" s="47"/>
      <c r="AL501" s="383"/>
      <c r="AM501" s="383"/>
      <c r="AN501" s="383"/>
    </row>
    <row r="502" spans="15:40" ht="15" customHeight="1" x14ac:dyDescent="0.2">
      <c r="O502" s="339" t="s">
        <v>1325</v>
      </c>
      <c r="P502" s="323" t="s">
        <v>219</v>
      </c>
      <c r="AJ502" s="46"/>
      <c r="AK502" s="47"/>
      <c r="AL502" s="383"/>
      <c r="AM502" s="383"/>
      <c r="AN502" s="383"/>
    </row>
    <row r="503" spans="15:40" ht="15" customHeight="1" x14ac:dyDescent="0.2">
      <c r="O503" s="339" t="s">
        <v>1326</v>
      </c>
      <c r="P503" s="323" t="s">
        <v>219</v>
      </c>
      <c r="AJ503" s="46"/>
      <c r="AK503" s="47"/>
      <c r="AL503" s="383"/>
      <c r="AM503" s="383"/>
      <c r="AN503" s="383"/>
    </row>
    <row r="504" spans="15:40" ht="15" customHeight="1" x14ac:dyDescent="0.2">
      <c r="O504" s="339" t="s">
        <v>1327</v>
      </c>
      <c r="P504" s="323" t="s">
        <v>219</v>
      </c>
      <c r="AJ504" s="46"/>
      <c r="AK504" s="47"/>
      <c r="AL504" s="383"/>
      <c r="AM504" s="383"/>
      <c r="AN504" s="383"/>
    </row>
    <row r="505" spans="15:40" ht="15" customHeight="1" x14ac:dyDescent="0.2">
      <c r="O505" s="339" t="s">
        <v>1328</v>
      </c>
      <c r="P505" s="323" t="s">
        <v>219</v>
      </c>
      <c r="AJ505" s="46"/>
      <c r="AK505" s="47"/>
      <c r="AL505" s="383"/>
      <c r="AM505" s="383"/>
      <c r="AN505" s="383"/>
    </row>
    <row r="506" spans="15:40" ht="15" customHeight="1" x14ac:dyDescent="0.2">
      <c r="O506" s="339" t="s">
        <v>1329</v>
      </c>
      <c r="P506" s="323" t="s">
        <v>219</v>
      </c>
      <c r="AJ506" s="46"/>
      <c r="AK506" s="47"/>
      <c r="AL506" s="383"/>
      <c r="AM506" s="383"/>
      <c r="AN506" s="383"/>
    </row>
    <row r="507" spans="15:40" ht="15" customHeight="1" x14ac:dyDescent="0.2">
      <c r="O507" s="339" t="s">
        <v>1330</v>
      </c>
      <c r="P507" s="323" t="s">
        <v>219</v>
      </c>
      <c r="AJ507" s="46"/>
      <c r="AK507" s="47"/>
      <c r="AL507" s="383"/>
      <c r="AM507" s="383"/>
      <c r="AN507" s="383"/>
    </row>
    <row r="508" spans="15:40" ht="15" customHeight="1" x14ac:dyDescent="0.2">
      <c r="O508" s="339" t="s">
        <v>1331</v>
      </c>
      <c r="P508" s="323" t="s">
        <v>219</v>
      </c>
      <c r="AJ508" s="46"/>
      <c r="AK508" s="47"/>
      <c r="AL508" s="383"/>
      <c r="AM508" s="383"/>
      <c r="AN508" s="383"/>
    </row>
    <row r="509" spans="15:40" ht="15" customHeight="1" x14ac:dyDescent="0.2">
      <c r="O509" s="339" t="s">
        <v>1332</v>
      </c>
      <c r="P509" s="323" t="s">
        <v>219</v>
      </c>
      <c r="AJ509" s="46"/>
      <c r="AK509" s="47"/>
      <c r="AL509" s="383"/>
      <c r="AM509" s="383"/>
      <c r="AN509" s="383"/>
    </row>
    <row r="510" spans="15:40" ht="15" customHeight="1" x14ac:dyDescent="0.2">
      <c r="O510" s="339" t="s">
        <v>1333</v>
      </c>
      <c r="P510" s="323" t="s">
        <v>219</v>
      </c>
      <c r="AJ510" s="46"/>
      <c r="AK510" s="47"/>
      <c r="AL510" s="383"/>
      <c r="AM510" s="383"/>
      <c r="AN510" s="383"/>
    </row>
    <row r="511" spans="15:40" ht="15" customHeight="1" x14ac:dyDescent="0.2">
      <c r="O511" s="339" t="s">
        <v>1334</v>
      </c>
      <c r="P511" s="323" t="s">
        <v>219</v>
      </c>
      <c r="AJ511" s="46"/>
      <c r="AK511" s="47"/>
      <c r="AL511" s="383"/>
      <c r="AM511" s="383"/>
      <c r="AN511" s="383"/>
    </row>
    <row r="512" spans="15:40" ht="15" customHeight="1" x14ac:dyDescent="0.2">
      <c r="O512" s="339" t="s">
        <v>1335</v>
      </c>
      <c r="P512" s="323" t="s">
        <v>219</v>
      </c>
      <c r="AJ512" s="46"/>
      <c r="AK512" s="47"/>
      <c r="AL512" s="383"/>
      <c r="AM512" s="383"/>
      <c r="AN512" s="383"/>
    </row>
    <row r="513" spans="15:40" ht="15" customHeight="1" x14ac:dyDescent="0.2">
      <c r="O513" s="339" t="s">
        <v>1336</v>
      </c>
      <c r="P513" s="323" t="s">
        <v>219</v>
      </c>
      <c r="AJ513" s="46"/>
      <c r="AK513" s="47"/>
      <c r="AL513" s="383"/>
      <c r="AM513" s="383"/>
      <c r="AN513" s="383"/>
    </row>
    <row r="514" spans="15:40" ht="15" customHeight="1" x14ac:dyDescent="0.2">
      <c r="O514" s="339" t="s">
        <v>1337</v>
      </c>
      <c r="P514" s="323" t="s">
        <v>219</v>
      </c>
      <c r="AJ514" s="46"/>
      <c r="AK514" s="47"/>
      <c r="AL514" s="383"/>
      <c r="AM514" s="383"/>
      <c r="AN514" s="383"/>
    </row>
    <row r="515" spans="15:40" ht="15" customHeight="1" x14ac:dyDescent="0.2">
      <c r="O515" s="339" t="s">
        <v>1338</v>
      </c>
      <c r="P515" s="323" t="s">
        <v>219</v>
      </c>
      <c r="AJ515" s="46"/>
      <c r="AK515" s="47"/>
      <c r="AL515" s="383"/>
      <c r="AM515" s="383"/>
      <c r="AN515" s="383"/>
    </row>
    <row r="516" spans="15:40" ht="15" customHeight="1" x14ac:dyDescent="0.2">
      <c r="O516" s="339" t="s">
        <v>1339</v>
      </c>
      <c r="P516" s="323" t="s">
        <v>219</v>
      </c>
      <c r="AJ516" s="46"/>
      <c r="AK516" s="47"/>
      <c r="AL516" s="383"/>
      <c r="AM516" s="383"/>
      <c r="AN516" s="383"/>
    </row>
    <row r="517" spans="15:40" ht="15" customHeight="1" x14ac:dyDescent="0.2">
      <c r="O517" s="339" t="s">
        <v>1340</v>
      </c>
      <c r="P517" s="323" t="s">
        <v>219</v>
      </c>
      <c r="AJ517" s="46"/>
      <c r="AK517" s="47"/>
      <c r="AL517" s="383"/>
      <c r="AM517" s="383"/>
      <c r="AN517" s="383"/>
    </row>
    <row r="518" spans="15:40" ht="15" customHeight="1" thickBot="1" x14ac:dyDescent="0.25">
      <c r="O518" s="340" t="s">
        <v>1341</v>
      </c>
      <c r="P518" s="323" t="s">
        <v>219</v>
      </c>
      <c r="AJ518" s="46"/>
      <c r="AK518" s="47"/>
      <c r="AL518" s="383"/>
      <c r="AM518" s="383"/>
      <c r="AN518" s="383"/>
    </row>
    <row r="519" spans="15:40" ht="15" customHeight="1" thickBot="1" x14ac:dyDescent="0.25">
      <c r="O519" s="341" t="s">
        <v>1342</v>
      </c>
      <c r="P519" s="323"/>
      <c r="AJ519" s="46"/>
      <c r="AK519" s="47"/>
      <c r="AL519" s="383"/>
      <c r="AM519" s="383"/>
      <c r="AN519" s="383"/>
    </row>
    <row r="520" spans="15:40" ht="15" customHeight="1" x14ac:dyDescent="0.2">
      <c r="O520" s="337" t="s">
        <v>1343</v>
      </c>
      <c r="P520" s="326" t="s">
        <v>216</v>
      </c>
      <c r="AJ520" s="46"/>
      <c r="AK520" s="47"/>
      <c r="AL520" s="383"/>
      <c r="AM520" s="383"/>
      <c r="AN520" s="383"/>
    </row>
    <row r="521" spans="15:40" ht="15" customHeight="1" x14ac:dyDescent="0.2">
      <c r="O521" s="339" t="s">
        <v>1344</v>
      </c>
      <c r="P521" s="323" t="s">
        <v>219</v>
      </c>
      <c r="AJ521" s="46"/>
      <c r="AK521" s="47"/>
      <c r="AL521" s="383"/>
      <c r="AM521" s="383"/>
      <c r="AN521" s="383"/>
    </row>
    <row r="522" spans="15:40" ht="15" customHeight="1" x14ac:dyDescent="0.2">
      <c r="O522" s="339" t="s">
        <v>1345</v>
      </c>
      <c r="P522" s="323" t="s">
        <v>219</v>
      </c>
      <c r="AJ522" s="46"/>
      <c r="AK522" s="47"/>
      <c r="AL522" s="383"/>
      <c r="AM522" s="383"/>
      <c r="AN522" s="383"/>
    </row>
    <row r="523" spans="15:40" ht="15" customHeight="1" x14ac:dyDescent="0.2">
      <c r="O523" s="339" t="s">
        <v>1346</v>
      </c>
      <c r="P523" s="323" t="s">
        <v>219</v>
      </c>
      <c r="AJ523" s="46"/>
      <c r="AK523" s="47"/>
      <c r="AL523" s="383"/>
      <c r="AM523" s="383"/>
      <c r="AN523" s="383"/>
    </row>
    <row r="524" spans="15:40" ht="15" customHeight="1" x14ac:dyDescent="0.2">
      <c r="O524" s="339" t="s">
        <v>1347</v>
      </c>
      <c r="P524" s="323" t="s">
        <v>219</v>
      </c>
      <c r="AJ524" s="46"/>
      <c r="AK524" s="47"/>
      <c r="AL524" s="383"/>
      <c r="AM524" s="383"/>
      <c r="AN524" s="383"/>
    </row>
    <row r="525" spans="15:40" ht="15" customHeight="1" x14ac:dyDescent="0.2">
      <c r="O525" s="339" t="s">
        <v>1348</v>
      </c>
      <c r="P525" s="323" t="s">
        <v>219</v>
      </c>
      <c r="AJ525" s="46"/>
      <c r="AK525" s="47"/>
      <c r="AL525" s="383"/>
      <c r="AM525" s="383"/>
      <c r="AN525" s="383"/>
    </row>
    <row r="526" spans="15:40" ht="15" customHeight="1" x14ac:dyDescent="0.2">
      <c r="O526" s="339" t="s">
        <v>1349</v>
      </c>
      <c r="P526" s="323" t="s">
        <v>219</v>
      </c>
      <c r="AJ526" s="46"/>
      <c r="AK526" s="47"/>
      <c r="AL526" s="383"/>
      <c r="AM526" s="383"/>
      <c r="AN526" s="383"/>
    </row>
    <row r="527" spans="15:40" ht="15" customHeight="1" x14ac:dyDescent="0.2">
      <c r="O527" s="339" t="s">
        <v>1350</v>
      </c>
      <c r="P527" s="323" t="s">
        <v>219</v>
      </c>
      <c r="AJ527" s="46"/>
      <c r="AK527" s="47"/>
      <c r="AL527" s="383"/>
      <c r="AM527" s="383"/>
      <c r="AN527" s="383"/>
    </row>
    <row r="528" spans="15:40" ht="15" customHeight="1" x14ac:dyDescent="0.2">
      <c r="O528" s="339" t="s">
        <v>1351</v>
      </c>
      <c r="P528" s="323" t="s">
        <v>219</v>
      </c>
      <c r="AJ528" s="46"/>
      <c r="AK528" s="47"/>
      <c r="AL528" s="383"/>
      <c r="AM528" s="383"/>
      <c r="AN528" s="383"/>
    </row>
    <row r="529" spans="15:40" ht="15" customHeight="1" x14ac:dyDescent="0.2">
      <c r="O529" s="339" t="s">
        <v>1352</v>
      </c>
      <c r="P529" s="323" t="s">
        <v>219</v>
      </c>
      <c r="AJ529" s="46"/>
      <c r="AK529" s="47"/>
      <c r="AL529" s="383"/>
      <c r="AM529" s="383"/>
      <c r="AN529" s="383"/>
    </row>
    <row r="530" spans="15:40" ht="15" customHeight="1" x14ac:dyDescent="0.2">
      <c r="O530" s="339" t="s">
        <v>1353</v>
      </c>
      <c r="P530" s="323" t="s">
        <v>219</v>
      </c>
      <c r="AJ530" s="46"/>
      <c r="AK530" s="47"/>
      <c r="AL530" s="383"/>
      <c r="AM530" s="383"/>
      <c r="AN530" s="383"/>
    </row>
    <row r="531" spans="15:40" ht="15" customHeight="1" x14ac:dyDescent="0.2">
      <c r="O531" s="339" t="s">
        <v>1354</v>
      </c>
      <c r="P531" s="323" t="s">
        <v>219</v>
      </c>
      <c r="AJ531" s="46"/>
      <c r="AK531" s="47"/>
      <c r="AL531" s="383"/>
      <c r="AM531" s="383"/>
      <c r="AN531" s="383"/>
    </row>
    <row r="532" spans="15:40" ht="15" customHeight="1" x14ac:dyDescent="0.2">
      <c r="O532" s="339" t="s">
        <v>1355</v>
      </c>
      <c r="P532" s="323" t="s">
        <v>219</v>
      </c>
      <c r="AJ532" s="46"/>
      <c r="AK532" s="47"/>
      <c r="AL532" s="383"/>
      <c r="AM532" s="383"/>
      <c r="AN532" s="383"/>
    </row>
    <row r="533" spans="15:40" ht="15" customHeight="1" x14ac:dyDescent="0.2">
      <c r="O533" s="339" t="s">
        <v>1356</v>
      </c>
      <c r="P533" s="323" t="s">
        <v>219</v>
      </c>
      <c r="AJ533" s="46"/>
      <c r="AK533" s="47"/>
      <c r="AL533" s="383"/>
      <c r="AM533" s="383"/>
      <c r="AN533" s="383"/>
    </row>
    <row r="534" spans="15:40" ht="15" customHeight="1" x14ac:dyDescent="0.2">
      <c r="O534" s="339" t="s">
        <v>1357</v>
      </c>
      <c r="P534" s="323" t="s">
        <v>219</v>
      </c>
      <c r="AJ534" s="46"/>
      <c r="AK534" s="47"/>
      <c r="AL534" s="383"/>
      <c r="AM534" s="383"/>
      <c r="AN534" s="383"/>
    </row>
    <row r="535" spans="15:40" ht="15" customHeight="1" x14ac:dyDescent="0.2">
      <c r="O535" s="339" t="s">
        <v>1358</v>
      </c>
      <c r="P535" s="323" t="s">
        <v>219</v>
      </c>
      <c r="AJ535" s="46"/>
      <c r="AK535" s="47"/>
      <c r="AL535" s="383"/>
      <c r="AM535" s="383"/>
      <c r="AN535" s="383"/>
    </row>
    <row r="536" spans="15:40" ht="15" customHeight="1" x14ac:dyDescent="0.2">
      <c r="O536" s="339" t="s">
        <v>1359</v>
      </c>
      <c r="P536" s="323" t="s">
        <v>219</v>
      </c>
      <c r="AJ536" s="46"/>
      <c r="AK536" s="47"/>
      <c r="AL536" s="383"/>
      <c r="AM536" s="383"/>
      <c r="AN536" s="383"/>
    </row>
    <row r="537" spans="15:40" ht="15" customHeight="1" x14ac:dyDescent="0.2">
      <c r="O537" s="339" t="s">
        <v>1360</v>
      </c>
      <c r="P537" s="323" t="s">
        <v>219</v>
      </c>
      <c r="AJ537" s="46"/>
      <c r="AK537" s="47"/>
      <c r="AL537" s="383"/>
      <c r="AM537" s="383"/>
      <c r="AN537" s="383"/>
    </row>
    <row r="538" spans="15:40" ht="15" customHeight="1" x14ac:dyDescent="0.2">
      <c r="O538" s="339" t="s">
        <v>1361</v>
      </c>
      <c r="P538" s="323" t="s">
        <v>219</v>
      </c>
      <c r="AJ538" s="46"/>
      <c r="AK538" s="47"/>
      <c r="AL538" s="383"/>
      <c r="AM538" s="383"/>
      <c r="AN538" s="383"/>
    </row>
    <row r="539" spans="15:40" ht="15" customHeight="1" x14ac:dyDescent="0.2">
      <c r="O539" s="350" t="s">
        <v>1362</v>
      </c>
      <c r="P539" s="323" t="s">
        <v>219</v>
      </c>
      <c r="Q539" s="353"/>
      <c r="AJ539" s="46"/>
      <c r="AK539" s="47"/>
      <c r="AL539" s="383"/>
      <c r="AM539" s="383"/>
      <c r="AN539" s="383"/>
    </row>
    <row r="540" spans="15:40" ht="15" customHeight="1" x14ac:dyDescent="0.2">
      <c r="O540" s="350" t="s">
        <v>1363</v>
      </c>
      <c r="P540" s="323" t="s">
        <v>219</v>
      </c>
      <c r="Q540" s="353"/>
      <c r="AJ540" s="46"/>
      <c r="AK540" s="47"/>
      <c r="AL540" s="383"/>
      <c r="AM540" s="383"/>
      <c r="AN540" s="383"/>
    </row>
    <row r="541" spans="15:40" ht="15" customHeight="1" x14ac:dyDescent="0.2">
      <c r="O541" s="355" t="s">
        <v>1364</v>
      </c>
      <c r="P541" s="323" t="s">
        <v>219</v>
      </c>
      <c r="Q541" s="353"/>
      <c r="AJ541" s="46"/>
      <c r="AK541" s="47"/>
      <c r="AL541" s="383"/>
      <c r="AM541" s="383"/>
      <c r="AN541" s="383"/>
    </row>
    <row r="542" spans="15:40" ht="15" customHeight="1" x14ac:dyDescent="0.2">
      <c r="O542" s="355" t="s">
        <v>1365</v>
      </c>
      <c r="P542" s="323" t="s">
        <v>219</v>
      </c>
      <c r="Q542" s="353"/>
      <c r="AJ542" s="46"/>
      <c r="AK542" s="47"/>
      <c r="AL542" s="383"/>
      <c r="AM542" s="383"/>
      <c r="AN542" s="383"/>
    </row>
    <row r="543" spans="15:40" ht="15" customHeight="1" x14ac:dyDescent="0.2">
      <c r="O543" s="355" t="s">
        <v>1366</v>
      </c>
      <c r="P543" s="323" t="s">
        <v>219</v>
      </c>
      <c r="Q543" s="353"/>
      <c r="AJ543" s="46"/>
      <c r="AK543" s="47"/>
      <c r="AL543" s="383"/>
      <c r="AM543" s="383"/>
      <c r="AN543" s="383"/>
    </row>
    <row r="544" spans="15:40" ht="15" customHeight="1" thickBot="1" x14ac:dyDescent="0.25">
      <c r="O544" s="355" t="s">
        <v>1367</v>
      </c>
      <c r="P544" s="323" t="s">
        <v>219</v>
      </c>
      <c r="Q544" s="353"/>
      <c r="AJ544" s="46"/>
      <c r="AK544" s="47"/>
      <c r="AL544" s="383"/>
      <c r="AM544" s="383"/>
      <c r="AN544" s="383"/>
    </row>
    <row r="545" spans="15:40" ht="15" customHeight="1" thickBot="1" x14ac:dyDescent="0.25">
      <c r="O545" s="336" t="s">
        <v>1368</v>
      </c>
      <c r="P545" s="323"/>
      <c r="AJ545" s="46"/>
      <c r="AK545" s="47"/>
      <c r="AL545" s="383"/>
      <c r="AM545" s="383"/>
      <c r="AN545" s="383"/>
    </row>
    <row r="546" spans="15:40" ht="15" customHeight="1" x14ac:dyDescent="0.2">
      <c r="O546" s="337" t="s">
        <v>1369</v>
      </c>
      <c r="P546" s="326" t="s">
        <v>216</v>
      </c>
      <c r="AJ546" s="46"/>
      <c r="AK546" s="47"/>
      <c r="AL546" s="383"/>
      <c r="AM546" s="383"/>
      <c r="AN546" s="383"/>
    </row>
    <row r="547" spans="15:40" ht="15" customHeight="1" x14ac:dyDescent="0.2">
      <c r="O547" s="346" t="s">
        <v>1370</v>
      </c>
      <c r="P547" s="326" t="s">
        <v>216</v>
      </c>
      <c r="AJ547" s="46"/>
      <c r="AK547" s="47"/>
      <c r="AL547" s="383"/>
      <c r="AM547" s="383"/>
      <c r="AN547" s="383"/>
    </row>
    <row r="548" spans="15:40" ht="15" customHeight="1" x14ac:dyDescent="0.2">
      <c r="O548" s="346" t="s">
        <v>1371</v>
      </c>
      <c r="P548" s="326" t="s">
        <v>216</v>
      </c>
      <c r="AJ548" s="46"/>
      <c r="AK548" s="47"/>
      <c r="AL548" s="383"/>
      <c r="AM548" s="383"/>
      <c r="AN548" s="383"/>
    </row>
    <row r="549" spans="15:40" ht="15" customHeight="1" x14ac:dyDescent="0.2">
      <c r="O549" s="339" t="s">
        <v>1372</v>
      </c>
      <c r="P549" s="323" t="s">
        <v>219</v>
      </c>
      <c r="AJ549" s="46"/>
      <c r="AK549" s="47"/>
      <c r="AL549" s="383"/>
      <c r="AM549" s="383"/>
      <c r="AN549" s="383"/>
    </row>
    <row r="550" spans="15:40" ht="15" customHeight="1" x14ac:dyDescent="0.2">
      <c r="O550" s="339" t="s">
        <v>1373</v>
      </c>
      <c r="P550" s="323" t="s">
        <v>219</v>
      </c>
      <c r="AJ550" s="46"/>
      <c r="AK550" s="47"/>
      <c r="AL550" s="383"/>
      <c r="AM550" s="383"/>
      <c r="AN550" s="383"/>
    </row>
    <row r="551" spans="15:40" ht="15" customHeight="1" x14ac:dyDescent="0.2">
      <c r="O551" s="339" t="s">
        <v>1374</v>
      </c>
      <c r="P551" s="323" t="s">
        <v>219</v>
      </c>
      <c r="AJ551" s="46"/>
      <c r="AK551" s="47"/>
      <c r="AL551" s="383"/>
      <c r="AM551" s="383"/>
      <c r="AN551" s="383"/>
    </row>
    <row r="552" spans="15:40" ht="15" customHeight="1" x14ac:dyDescent="0.2">
      <c r="O552" s="339" t="s">
        <v>1375</v>
      </c>
      <c r="P552" s="323" t="s">
        <v>219</v>
      </c>
      <c r="AJ552" s="46"/>
      <c r="AK552" s="47"/>
      <c r="AL552" s="383"/>
      <c r="AM552" s="383"/>
      <c r="AN552" s="383"/>
    </row>
    <row r="553" spans="15:40" ht="15" customHeight="1" x14ac:dyDescent="0.2">
      <c r="O553" s="339" t="s">
        <v>1376</v>
      </c>
      <c r="P553" s="323" t="s">
        <v>219</v>
      </c>
      <c r="AJ553" s="46"/>
      <c r="AK553" s="47"/>
      <c r="AL553" s="383"/>
      <c r="AM553" s="383"/>
      <c r="AN553" s="383"/>
    </row>
    <row r="554" spans="15:40" ht="15" customHeight="1" x14ac:dyDescent="0.2">
      <c r="O554" s="339" t="s">
        <v>1377</v>
      </c>
      <c r="P554" s="323" t="s">
        <v>219</v>
      </c>
      <c r="AJ554" s="46"/>
      <c r="AK554" s="47"/>
      <c r="AL554" s="383"/>
      <c r="AM554" s="383"/>
      <c r="AN554" s="383"/>
    </row>
    <row r="555" spans="15:40" ht="15" customHeight="1" x14ac:dyDescent="0.2">
      <c r="O555" s="339" t="s">
        <v>1378</v>
      </c>
      <c r="P555" s="323" t="s">
        <v>219</v>
      </c>
      <c r="AJ555" s="46"/>
      <c r="AK555" s="47"/>
      <c r="AL555" s="383"/>
      <c r="AM555" s="383"/>
      <c r="AN555" s="383"/>
    </row>
    <row r="556" spans="15:40" ht="15" customHeight="1" x14ac:dyDescent="0.2">
      <c r="O556" s="339" t="s">
        <v>1379</v>
      </c>
      <c r="P556" s="323" t="s">
        <v>219</v>
      </c>
      <c r="AJ556" s="46"/>
      <c r="AK556" s="47"/>
      <c r="AL556" s="383"/>
      <c r="AM556" s="383"/>
      <c r="AN556" s="383"/>
    </row>
    <row r="557" spans="15:40" ht="15" customHeight="1" x14ac:dyDescent="0.2">
      <c r="O557" s="339" t="s">
        <v>1380</v>
      </c>
      <c r="P557" s="323" t="s">
        <v>219</v>
      </c>
      <c r="AJ557" s="46"/>
      <c r="AK557" s="47"/>
      <c r="AL557" s="383"/>
      <c r="AM557" s="383"/>
      <c r="AN557" s="383"/>
    </row>
    <row r="558" spans="15:40" ht="15" customHeight="1" x14ac:dyDescent="0.2">
      <c r="O558" s="339" t="s">
        <v>1381</v>
      </c>
      <c r="P558" s="323" t="s">
        <v>219</v>
      </c>
      <c r="AJ558" s="46"/>
      <c r="AK558" s="47"/>
      <c r="AL558" s="383"/>
      <c r="AM558" s="383"/>
      <c r="AN558" s="383"/>
    </row>
    <row r="559" spans="15:40" ht="15" customHeight="1" x14ac:dyDescent="0.2">
      <c r="O559" s="339" t="s">
        <v>1382</v>
      </c>
      <c r="P559" s="323" t="s">
        <v>219</v>
      </c>
      <c r="AJ559" s="46"/>
      <c r="AK559" s="47"/>
      <c r="AL559" s="383"/>
      <c r="AM559" s="383"/>
      <c r="AN559" s="383"/>
    </row>
    <row r="560" spans="15:40" ht="15" customHeight="1" x14ac:dyDescent="0.2">
      <c r="O560" s="339" t="s">
        <v>1383</v>
      </c>
      <c r="P560" s="323" t="s">
        <v>219</v>
      </c>
      <c r="AJ560" s="46"/>
      <c r="AK560" s="47"/>
      <c r="AL560" s="383"/>
      <c r="AM560" s="383"/>
      <c r="AN560" s="383"/>
    </row>
    <row r="561" spans="15:40" ht="15" customHeight="1" x14ac:dyDescent="0.2">
      <c r="O561" s="339" t="s">
        <v>1384</v>
      </c>
      <c r="P561" s="323" t="s">
        <v>219</v>
      </c>
      <c r="AJ561" s="46"/>
      <c r="AK561" s="47"/>
      <c r="AL561" s="383"/>
      <c r="AM561" s="383"/>
      <c r="AN561" s="383"/>
    </row>
    <row r="562" spans="15:40" ht="15" customHeight="1" thickBot="1" x14ac:dyDescent="0.25">
      <c r="O562" s="340" t="s">
        <v>1385</v>
      </c>
      <c r="P562" s="323" t="s">
        <v>219</v>
      </c>
      <c r="AJ562" s="46"/>
      <c r="AK562" s="47"/>
      <c r="AL562" s="383"/>
      <c r="AM562" s="383"/>
      <c r="AN562" s="383"/>
    </row>
    <row r="563" spans="15:40" ht="15" customHeight="1" thickBot="1" x14ac:dyDescent="0.25">
      <c r="O563" s="341" t="s">
        <v>1386</v>
      </c>
      <c r="P563" s="323"/>
      <c r="AJ563" s="46"/>
      <c r="AK563" s="47"/>
      <c r="AL563" s="383"/>
      <c r="AM563" s="383"/>
      <c r="AN563" s="383"/>
    </row>
    <row r="564" spans="15:40" ht="15" customHeight="1" x14ac:dyDescent="0.2">
      <c r="O564" s="337" t="s">
        <v>1387</v>
      </c>
      <c r="P564" s="326" t="s">
        <v>216</v>
      </c>
      <c r="AJ564" s="46"/>
      <c r="AK564" s="47"/>
      <c r="AL564" s="383"/>
      <c r="AM564" s="383"/>
      <c r="AN564" s="383"/>
    </row>
    <row r="565" spans="15:40" ht="15" customHeight="1" x14ac:dyDescent="0.2">
      <c r="O565" s="338" t="s">
        <v>1388</v>
      </c>
      <c r="P565" s="326" t="s">
        <v>216</v>
      </c>
      <c r="AJ565" s="46"/>
      <c r="AK565" s="47"/>
      <c r="AL565" s="383"/>
      <c r="AM565" s="383"/>
      <c r="AN565" s="383"/>
    </row>
    <row r="566" spans="15:40" ht="15" customHeight="1" x14ac:dyDescent="0.2">
      <c r="O566" s="338" t="s">
        <v>1389</v>
      </c>
      <c r="P566" s="326" t="s">
        <v>216</v>
      </c>
      <c r="AJ566" s="46"/>
      <c r="AK566" s="47"/>
      <c r="AL566" s="383"/>
      <c r="AM566" s="383"/>
      <c r="AN566" s="383"/>
    </row>
    <row r="567" spans="15:40" ht="15" customHeight="1" x14ac:dyDescent="0.2">
      <c r="O567" s="338" t="s">
        <v>1390</v>
      </c>
      <c r="P567" s="326" t="s">
        <v>216</v>
      </c>
      <c r="AJ567" s="46"/>
      <c r="AK567" s="47"/>
      <c r="AL567" s="383"/>
      <c r="AM567" s="383"/>
      <c r="AN567" s="383"/>
    </row>
    <row r="568" spans="15:40" ht="15" customHeight="1" x14ac:dyDescent="0.2">
      <c r="O568" s="339" t="s">
        <v>1391</v>
      </c>
      <c r="P568" s="323" t="s">
        <v>219</v>
      </c>
      <c r="AJ568" s="46"/>
      <c r="AK568" s="47"/>
      <c r="AL568" s="383"/>
      <c r="AM568" s="383"/>
      <c r="AN568" s="383"/>
    </row>
    <row r="569" spans="15:40" ht="15" customHeight="1" x14ac:dyDescent="0.2">
      <c r="O569" s="339" t="s">
        <v>1392</v>
      </c>
      <c r="P569" s="323" t="s">
        <v>219</v>
      </c>
      <c r="AJ569" s="46"/>
      <c r="AK569" s="47"/>
      <c r="AL569" s="383"/>
      <c r="AM569" s="383"/>
      <c r="AN569" s="383"/>
    </row>
    <row r="570" spans="15:40" ht="15" customHeight="1" x14ac:dyDescent="0.2">
      <c r="O570" s="339" t="s">
        <v>1393</v>
      </c>
      <c r="P570" s="323" t="s">
        <v>219</v>
      </c>
      <c r="AJ570" s="46"/>
      <c r="AK570" s="47"/>
      <c r="AL570" s="383"/>
      <c r="AM570" s="383"/>
      <c r="AN570" s="383"/>
    </row>
    <row r="571" spans="15:40" ht="15" customHeight="1" x14ac:dyDescent="0.2">
      <c r="O571" s="339" t="s">
        <v>1394</v>
      </c>
      <c r="P571" s="323" t="s">
        <v>219</v>
      </c>
      <c r="AJ571" s="46"/>
      <c r="AK571" s="47"/>
      <c r="AL571" s="383"/>
      <c r="AM571" s="383"/>
      <c r="AN571" s="383"/>
    </row>
    <row r="572" spans="15:40" ht="15" customHeight="1" x14ac:dyDescent="0.2">
      <c r="O572" s="339" t="s">
        <v>1395</v>
      </c>
      <c r="P572" s="323" t="s">
        <v>219</v>
      </c>
      <c r="AJ572" s="46"/>
      <c r="AK572" s="47"/>
      <c r="AL572" s="383"/>
      <c r="AM572" s="383"/>
      <c r="AN572" s="383"/>
    </row>
    <row r="573" spans="15:40" ht="15" customHeight="1" x14ac:dyDescent="0.2">
      <c r="O573" s="339" t="s">
        <v>1396</v>
      </c>
      <c r="P573" s="323" t="s">
        <v>219</v>
      </c>
      <c r="AJ573" s="46"/>
      <c r="AK573" s="47"/>
      <c r="AL573" s="383"/>
      <c r="AM573" s="383"/>
      <c r="AN573" s="383"/>
    </row>
    <row r="574" spans="15:40" ht="15" customHeight="1" x14ac:dyDescent="0.2">
      <c r="O574" s="339" t="s">
        <v>1397</v>
      </c>
      <c r="P574" s="323" t="s">
        <v>219</v>
      </c>
      <c r="Q574" s="333"/>
      <c r="AJ574" s="46"/>
      <c r="AK574" s="47"/>
      <c r="AL574" s="383"/>
      <c r="AM574" s="383"/>
      <c r="AN574" s="383"/>
    </row>
    <row r="575" spans="15:40" ht="15" customHeight="1" x14ac:dyDescent="0.2">
      <c r="O575" s="339" t="s">
        <v>1398</v>
      </c>
      <c r="P575" s="323" t="s">
        <v>219</v>
      </c>
      <c r="AJ575" s="46"/>
      <c r="AK575" s="47"/>
      <c r="AL575" s="383"/>
      <c r="AM575" s="383"/>
      <c r="AN575" s="383"/>
    </row>
    <row r="576" spans="15:40" ht="15" customHeight="1" x14ac:dyDescent="0.2">
      <c r="O576" s="339" t="s">
        <v>1399</v>
      </c>
      <c r="P576" s="323" t="s">
        <v>219</v>
      </c>
      <c r="AJ576" s="46"/>
      <c r="AK576" s="47"/>
      <c r="AL576" s="383"/>
      <c r="AM576" s="383"/>
      <c r="AN576" s="383"/>
    </row>
    <row r="577" spans="15:40" ht="15" customHeight="1" x14ac:dyDescent="0.2">
      <c r="O577" s="339" t="s">
        <v>1400</v>
      </c>
      <c r="P577" s="323" t="s">
        <v>219</v>
      </c>
      <c r="AJ577" s="46"/>
      <c r="AK577" s="47"/>
      <c r="AL577" s="383"/>
      <c r="AM577" s="383"/>
      <c r="AN577" s="383"/>
    </row>
    <row r="578" spans="15:40" ht="15" customHeight="1" x14ac:dyDescent="0.2">
      <c r="O578" s="339" t="s">
        <v>1401</v>
      </c>
      <c r="P578" s="323" t="s">
        <v>219</v>
      </c>
      <c r="AJ578" s="46"/>
      <c r="AK578" s="47"/>
      <c r="AL578" s="383"/>
      <c r="AM578" s="383"/>
      <c r="AN578" s="383"/>
    </row>
    <row r="579" spans="15:40" ht="15" customHeight="1" x14ac:dyDescent="0.2">
      <c r="O579" s="339" t="s">
        <v>1402</v>
      </c>
      <c r="P579" s="323" t="s">
        <v>219</v>
      </c>
      <c r="AJ579" s="46"/>
      <c r="AK579" s="47"/>
      <c r="AL579" s="383"/>
      <c r="AM579" s="383"/>
      <c r="AN579" s="383"/>
    </row>
    <row r="580" spans="15:40" ht="15" customHeight="1" x14ac:dyDescent="0.2">
      <c r="O580" s="339" t="s">
        <v>1403</v>
      </c>
      <c r="P580" s="323" t="s">
        <v>219</v>
      </c>
      <c r="AJ580" s="46"/>
      <c r="AK580" s="47"/>
      <c r="AL580" s="383"/>
      <c r="AM580" s="383"/>
      <c r="AN580" s="383"/>
    </row>
    <row r="581" spans="15:40" ht="15" customHeight="1" x14ac:dyDescent="0.2">
      <c r="O581" s="339" t="s">
        <v>1404</v>
      </c>
      <c r="P581" s="323" t="s">
        <v>219</v>
      </c>
      <c r="AJ581" s="46"/>
      <c r="AK581" s="47"/>
      <c r="AL581" s="383"/>
      <c r="AM581" s="383"/>
      <c r="AN581" s="383"/>
    </row>
    <row r="582" spans="15:40" ht="15" customHeight="1" x14ac:dyDescent="0.2">
      <c r="O582" s="339" t="s">
        <v>1405</v>
      </c>
      <c r="P582" s="323" t="s">
        <v>219</v>
      </c>
      <c r="AJ582" s="46"/>
      <c r="AK582" s="47"/>
      <c r="AL582" s="383"/>
      <c r="AM582" s="383"/>
      <c r="AN582" s="383"/>
    </row>
    <row r="583" spans="15:40" ht="15" customHeight="1" x14ac:dyDescent="0.2">
      <c r="O583" s="339" t="s">
        <v>1406</v>
      </c>
      <c r="P583" s="323" t="s">
        <v>219</v>
      </c>
      <c r="AJ583" s="46"/>
      <c r="AK583" s="47"/>
      <c r="AL583" s="383"/>
      <c r="AM583" s="383"/>
      <c r="AN583" s="383"/>
    </row>
    <row r="584" spans="15:40" ht="15" customHeight="1" x14ac:dyDescent="0.2">
      <c r="O584" s="339" t="s">
        <v>1407</v>
      </c>
      <c r="P584" s="323" t="s">
        <v>219</v>
      </c>
      <c r="AJ584" s="46"/>
      <c r="AK584" s="47"/>
      <c r="AL584" s="383"/>
      <c r="AM584" s="383"/>
      <c r="AN584" s="383"/>
    </row>
    <row r="585" spans="15:40" ht="15" customHeight="1" x14ac:dyDescent="0.2">
      <c r="O585" s="339" t="s">
        <v>1408</v>
      </c>
      <c r="P585" s="323" t="s">
        <v>219</v>
      </c>
      <c r="AJ585" s="46"/>
      <c r="AK585" s="47"/>
      <c r="AL585" s="383"/>
      <c r="AM585" s="383"/>
      <c r="AN585" s="383"/>
    </row>
    <row r="586" spans="15:40" ht="15" customHeight="1" x14ac:dyDescent="0.2">
      <c r="O586" s="339" t="s">
        <v>1409</v>
      </c>
      <c r="P586" s="323" t="s">
        <v>219</v>
      </c>
      <c r="AJ586" s="46"/>
      <c r="AK586" s="47"/>
      <c r="AL586" s="383"/>
      <c r="AM586" s="383"/>
      <c r="AN586" s="383"/>
    </row>
    <row r="587" spans="15:40" ht="15" customHeight="1" thickBot="1" x14ac:dyDescent="0.25">
      <c r="O587" s="340" t="s">
        <v>1410</v>
      </c>
      <c r="P587" s="323" t="s">
        <v>219</v>
      </c>
      <c r="AJ587" s="46"/>
      <c r="AK587" s="47"/>
      <c r="AL587" s="383"/>
      <c r="AM587" s="383"/>
      <c r="AN587" s="383"/>
    </row>
    <row r="588" spans="15:40" ht="15" customHeight="1" thickBot="1" x14ac:dyDescent="0.25">
      <c r="O588" s="336" t="s">
        <v>1411</v>
      </c>
      <c r="P588" s="326"/>
      <c r="AJ588" s="46"/>
      <c r="AK588" s="47"/>
      <c r="AL588" s="383"/>
      <c r="AM588" s="383"/>
      <c r="AN588" s="383"/>
    </row>
    <row r="589" spans="15:40" ht="15" customHeight="1" x14ac:dyDescent="0.2">
      <c r="O589" s="337" t="s">
        <v>1412</v>
      </c>
      <c r="P589" s="326" t="s">
        <v>216</v>
      </c>
      <c r="AJ589" s="46"/>
      <c r="AK589" s="47"/>
      <c r="AL589" s="383"/>
      <c r="AM589" s="383"/>
      <c r="AN589" s="383"/>
    </row>
    <row r="590" spans="15:40" ht="15" customHeight="1" x14ac:dyDescent="0.2">
      <c r="O590" s="339" t="s">
        <v>1413</v>
      </c>
      <c r="P590" s="323" t="s">
        <v>219</v>
      </c>
      <c r="AJ590" s="46"/>
      <c r="AK590" s="47"/>
      <c r="AL590" s="383"/>
      <c r="AM590" s="383"/>
      <c r="AN590" s="383"/>
    </row>
    <row r="591" spans="15:40" ht="15" customHeight="1" x14ac:dyDescent="0.2">
      <c r="O591" s="339" t="s">
        <v>1369</v>
      </c>
      <c r="P591" s="323" t="s">
        <v>219</v>
      </c>
      <c r="AJ591" s="46"/>
      <c r="AK591" s="47"/>
      <c r="AL591" s="383"/>
      <c r="AM591" s="383"/>
      <c r="AN591" s="383"/>
    </row>
    <row r="592" spans="15:40" ht="15" customHeight="1" x14ac:dyDescent="0.2">
      <c r="O592" s="339" t="s">
        <v>1414</v>
      </c>
      <c r="P592" s="323" t="s">
        <v>219</v>
      </c>
      <c r="AJ592" s="46"/>
      <c r="AK592" s="47"/>
      <c r="AL592" s="383"/>
      <c r="AM592" s="383"/>
      <c r="AN592" s="383"/>
    </row>
    <row r="593" spans="15:40" ht="15" customHeight="1" x14ac:dyDescent="0.2">
      <c r="O593" s="339" t="s">
        <v>1415</v>
      </c>
      <c r="P593" s="323" t="s">
        <v>219</v>
      </c>
      <c r="AJ593" s="46"/>
      <c r="AK593" s="47"/>
      <c r="AL593" s="383"/>
      <c r="AM593" s="383"/>
      <c r="AN593" s="383"/>
    </row>
    <row r="594" spans="15:40" ht="15" customHeight="1" x14ac:dyDescent="0.2">
      <c r="O594" s="339" t="s">
        <v>1416</v>
      </c>
      <c r="P594" s="323" t="s">
        <v>219</v>
      </c>
      <c r="AJ594" s="46"/>
      <c r="AK594" s="47"/>
      <c r="AL594" s="383"/>
      <c r="AM594" s="383"/>
      <c r="AN594" s="383"/>
    </row>
    <row r="595" spans="15:40" ht="15" customHeight="1" x14ac:dyDescent="0.2">
      <c r="O595" s="339" t="s">
        <v>1417</v>
      </c>
      <c r="P595" s="323" t="s">
        <v>219</v>
      </c>
      <c r="AJ595" s="46"/>
      <c r="AK595" s="47"/>
      <c r="AL595" s="383"/>
      <c r="AM595" s="383"/>
      <c r="AN595" s="383"/>
    </row>
    <row r="596" spans="15:40" ht="15" customHeight="1" x14ac:dyDescent="0.2">
      <c r="O596" s="339" t="s">
        <v>1418</v>
      </c>
      <c r="P596" s="323" t="s">
        <v>219</v>
      </c>
      <c r="AJ596" s="46"/>
      <c r="AK596" s="47"/>
      <c r="AL596" s="383"/>
      <c r="AM596" s="383"/>
      <c r="AN596" s="383"/>
    </row>
    <row r="597" spans="15:40" ht="15" customHeight="1" x14ac:dyDescent="0.2">
      <c r="O597" s="339" t="s">
        <v>1419</v>
      </c>
      <c r="P597" s="323" t="s">
        <v>219</v>
      </c>
      <c r="AJ597" s="46"/>
      <c r="AK597" s="47"/>
      <c r="AL597" s="383"/>
      <c r="AM597" s="383"/>
      <c r="AN597" s="383"/>
    </row>
    <row r="598" spans="15:40" ht="15" customHeight="1" x14ac:dyDescent="0.2">
      <c r="O598" s="339" t="s">
        <v>1420</v>
      </c>
      <c r="P598" s="323" t="s">
        <v>219</v>
      </c>
      <c r="AJ598" s="46"/>
      <c r="AK598" s="47"/>
      <c r="AL598" s="383"/>
      <c r="AM598" s="383"/>
      <c r="AN598" s="383"/>
    </row>
    <row r="599" spans="15:40" ht="15" customHeight="1" x14ac:dyDescent="0.2">
      <c r="O599" s="339" t="s">
        <v>1421</v>
      </c>
      <c r="P599" s="323" t="s">
        <v>219</v>
      </c>
      <c r="AJ599" s="46"/>
      <c r="AK599" s="47"/>
      <c r="AL599" s="383"/>
      <c r="AM599" s="383"/>
      <c r="AN599" s="383"/>
    </row>
    <row r="600" spans="15:40" ht="15" customHeight="1" x14ac:dyDescent="0.2">
      <c r="O600" s="339" t="s">
        <v>1422</v>
      </c>
      <c r="P600" s="323" t="s">
        <v>219</v>
      </c>
      <c r="AJ600" s="46"/>
      <c r="AK600" s="47"/>
      <c r="AL600" s="383"/>
      <c r="AM600" s="383"/>
      <c r="AN600" s="383"/>
    </row>
    <row r="601" spans="15:40" ht="15" customHeight="1" x14ac:dyDescent="0.2">
      <c r="O601" s="339" t="s">
        <v>1423</v>
      </c>
      <c r="P601" s="323" t="s">
        <v>219</v>
      </c>
      <c r="AJ601" s="46"/>
      <c r="AK601" s="47"/>
      <c r="AL601" s="383"/>
      <c r="AM601" s="383"/>
      <c r="AN601" s="383"/>
    </row>
    <row r="602" spans="15:40" ht="15" customHeight="1" x14ac:dyDescent="0.2">
      <c r="O602" s="339" t="s">
        <v>1424</v>
      </c>
      <c r="P602" s="323" t="s">
        <v>219</v>
      </c>
      <c r="AJ602" s="46"/>
      <c r="AK602" s="47"/>
      <c r="AL602" s="383"/>
      <c r="AM602" s="383"/>
      <c r="AN602" s="383"/>
    </row>
    <row r="603" spans="15:40" ht="15" customHeight="1" x14ac:dyDescent="0.2">
      <c r="O603" s="339" t="s">
        <v>1425</v>
      </c>
      <c r="P603" s="323" t="s">
        <v>219</v>
      </c>
      <c r="AJ603" s="46"/>
      <c r="AK603" s="47"/>
      <c r="AL603" s="383"/>
      <c r="AM603" s="383"/>
      <c r="AN603" s="383"/>
    </row>
    <row r="604" spans="15:40" ht="15" customHeight="1" x14ac:dyDescent="0.2">
      <c r="O604" s="339" t="s">
        <v>1426</v>
      </c>
      <c r="P604" s="323" t="s">
        <v>219</v>
      </c>
      <c r="AJ604" s="46"/>
      <c r="AK604" s="47"/>
      <c r="AL604" s="383"/>
      <c r="AM604" s="383"/>
      <c r="AN604" s="383"/>
    </row>
    <row r="605" spans="15:40" ht="15" customHeight="1" x14ac:dyDescent="0.2">
      <c r="O605" s="339" t="s">
        <v>1427</v>
      </c>
      <c r="P605" s="323" t="s">
        <v>219</v>
      </c>
      <c r="AJ605" s="46"/>
      <c r="AK605" s="47"/>
      <c r="AL605" s="383"/>
      <c r="AM605" s="383"/>
      <c r="AN605" s="383"/>
    </row>
    <row r="606" spans="15:40" ht="15" customHeight="1" thickBot="1" x14ac:dyDescent="0.25">
      <c r="O606" s="340" t="s">
        <v>1428</v>
      </c>
      <c r="P606" s="323" t="s">
        <v>219</v>
      </c>
      <c r="AJ606" s="46"/>
      <c r="AK606" s="47"/>
      <c r="AL606" s="383"/>
      <c r="AM606" s="383"/>
      <c r="AN606" s="383"/>
    </row>
    <row r="607" spans="15:40" ht="15" customHeight="1" thickBot="1" x14ac:dyDescent="0.25">
      <c r="O607" s="336" t="s">
        <v>1429</v>
      </c>
      <c r="P607" s="323"/>
      <c r="AJ607" s="46"/>
      <c r="AK607" s="47"/>
      <c r="AL607" s="383"/>
      <c r="AM607" s="383"/>
      <c r="AN607" s="383"/>
    </row>
    <row r="608" spans="15:40" ht="15" customHeight="1" x14ac:dyDescent="0.2">
      <c r="O608" s="337" t="s">
        <v>1430</v>
      </c>
      <c r="P608" s="326" t="s">
        <v>216</v>
      </c>
      <c r="AJ608" s="46"/>
      <c r="AK608" s="47"/>
      <c r="AL608" s="383"/>
      <c r="AM608" s="383"/>
      <c r="AN608" s="383"/>
    </row>
    <row r="609" spans="15:40" ht="15" customHeight="1" x14ac:dyDescent="0.2">
      <c r="O609" s="344" t="s">
        <v>1431</v>
      </c>
      <c r="P609" s="326" t="s">
        <v>216</v>
      </c>
      <c r="Q609" s="333"/>
      <c r="AJ609" s="46"/>
      <c r="AK609" s="47"/>
      <c r="AL609" s="383"/>
      <c r="AM609" s="383"/>
      <c r="AN609" s="383"/>
    </row>
    <row r="610" spans="15:40" ht="15" customHeight="1" x14ac:dyDescent="0.2">
      <c r="O610" s="338" t="s">
        <v>1432</v>
      </c>
      <c r="P610" s="326" t="s">
        <v>216</v>
      </c>
      <c r="AJ610" s="46"/>
      <c r="AK610" s="47"/>
      <c r="AL610" s="383"/>
      <c r="AM610" s="383"/>
      <c r="AN610" s="383"/>
    </row>
    <row r="611" spans="15:40" ht="15" customHeight="1" x14ac:dyDescent="0.2">
      <c r="O611" s="339" t="s">
        <v>1433</v>
      </c>
      <c r="P611" s="323" t="s">
        <v>219</v>
      </c>
      <c r="AJ611" s="46"/>
      <c r="AK611" s="47"/>
      <c r="AL611" s="383"/>
      <c r="AM611" s="383"/>
      <c r="AN611" s="383"/>
    </row>
    <row r="612" spans="15:40" ht="15" customHeight="1" x14ac:dyDescent="0.2">
      <c r="O612" s="339" t="s">
        <v>1434</v>
      </c>
      <c r="P612" s="323" t="s">
        <v>219</v>
      </c>
      <c r="AJ612" s="46"/>
      <c r="AK612" s="47"/>
      <c r="AL612" s="383"/>
      <c r="AM612" s="383"/>
      <c r="AN612" s="383"/>
    </row>
    <row r="613" spans="15:40" ht="15" customHeight="1" x14ac:dyDescent="0.2">
      <c r="O613" s="339" t="s">
        <v>1435</v>
      </c>
      <c r="P613" s="323" t="s">
        <v>219</v>
      </c>
      <c r="AJ613" s="46"/>
      <c r="AK613" s="47"/>
      <c r="AL613" s="383"/>
      <c r="AM613" s="383"/>
      <c r="AN613" s="383"/>
    </row>
    <row r="614" spans="15:40" ht="15" customHeight="1" x14ac:dyDescent="0.2">
      <c r="O614" s="339" t="s">
        <v>1436</v>
      </c>
      <c r="P614" s="323" t="s">
        <v>219</v>
      </c>
      <c r="Q614" s="353"/>
      <c r="AJ614" s="46"/>
      <c r="AK614" s="47"/>
      <c r="AL614" s="383"/>
      <c r="AM614" s="383"/>
      <c r="AN614" s="383"/>
    </row>
    <row r="615" spans="15:40" ht="15" customHeight="1" x14ac:dyDescent="0.2">
      <c r="O615" s="339" t="s">
        <v>1437</v>
      </c>
      <c r="P615" s="323" t="s">
        <v>219</v>
      </c>
      <c r="AJ615" s="46"/>
      <c r="AK615" s="47"/>
      <c r="AL615" s="383"/>
      <c r="AM615" s="383"/>
      <c r="AN615" s="383"/>
    </row>
    <row r="616" spans="15:40" ht="15" customHeight="1" x14ac:dyDescent="0.2">
      <c r="O616" s="339" t="s">
        <v>1438</v>
      </c>
      <c r="P616" s="323" t="s">
        <v>219</v>
      </c>
      <c r="AJ616" s="46"/>
      <c r="AK616" s="47"/>
      <c r="AL616" s="383"/>
      <c r="AM616" s="383"/>
      <c r="AN616" s="383"/>
    </row>
    <row r="617" spans="15:40" ht="15" customHeight="1" x14ac:dyDescent="0.2">
      <c r="O617" s="339" t="s">
        <v>1439</v>
      </c>
      <c r="P617" s="323" t="s">
        <v>219</v>
      </c>
      <c r="AJ617" s="46"/>
      <c r="AK617" s="47"/>
      <c r="AL617" s="383"/>
      <c r="AM617" s="383"/>
      <c r="AN617" s="383"/>
    </row>
    <row r="618" spans="15:40" ht="15" customHeight="1" x14ac:dyDescent="0.2">
      <c r="O618" s="339" t="s">
        <v>1440</v>
      </c>
      <c r="P618" s="323" t="s">
        <v>219</v>
      </c>
      <c r="AJ618" s="46"/>
      <c r="AK618" s="47"/>
      <c r="AL618" s="383"/>
      <c r="AM618" s="383"/>
      <c r="AN618" s="383"/>
    </row>
    <row r="619" spans="15:40" ht="15" customHeight="1" x14ac:dyDescent="0.2">
      <c r="O619" s="339" t="s">
        <v>1441</v>
      </c>
      <c r="P619" s="323" t="s">
        <v>219</v>
      </c>
      <c r="AJ619" s="46"/>
      <c r="AK619" s="47"/>
      <c r="AL619" s="383"/>
      <c r="AM619" s="383"/>
      <c r="AN619" s="383"/>
    </row>
    <row r="620" spans="15:40" ht="15" customHeight="1" x14ac:dyDescent="0.2">
      <c r="O620" s="339" t="s">
        <v>1442</v>
      </c>
      <c r="P620" s="323" t="s">
        <v>219</v>
      </c>
      <c r="AJ620" s="46"/>
      <c r="AK620" s="47"/>
      <c r="AL620" s="383"/>
      <c r="AM620" s="383"/>
      <c r="AN620" s="383"/>
    </row>
    <row r="621" spans="15:40" ht="15" customHeight="1" x14ac:dyDescent="0.2">
      <c r="O621" s="339" t="s">
        <v>1443</v>
      </c>
      <c r="P621" s="323" t="s">
        <v>219</v>
      </c>
      <c r="AJ621" s="46"/>
      <c r="AK621" s="47"/>
      <c r="AL621" s="383"/>
      <c r="AM621" s="383"/>
      <c r="AN621" s="383"/>
    </row>
    <row r="622" spans="15:40" ht="15" customHeight="1" x14ac:dyDescent="0.2">
      <c r="O622" s="339" t="s">
        <v>1444</v>
      </c>
      <c r="P622" s="323" t="s">
        <v>219</v>
      </c>
      <c r="AJ622" s="46"/>
      <c r="AK622" s="47"/>
      <c r="AL622" s="383"/>
      <c r="AM622" s="383"/>
      <c r="AN622" s="383"/>
    </row>
    <row r="623" spans="15:40" ht="15" customHeight="1" x14ac:dyDescent="0.2">
      <c r="O623" s="339" t="s">
        <v>1445</v>
      </c>
      <c r="P623" s="323" t="s">
        <v>219</v>
      </c>
      <c r="AJ623" s="46"/>
      <c r="AK623" s="47"/>
      <c r="AL623" s="383"/>
      <c r="AM623" s="383"/>
      <c r="AN623" s="383"/>
    </row>
    <row r="624" spans="15:40" ht="15" customHeight="1" thickBot="1" x14ac:dyDescent="0.25">
      <c r="O624" s="349" t="s">
        <v>1446</v>
      </c>
      <c r="P624" s="323" t="s">
        <v>219</v>
      </c>
      <c r="AJ624" s="46"/>
      <c r="AK624" s="47"/>
      <c r="AL624" s="383"/>
      <c r="AM624" s="383"/>
      <c r="AN624" s="383"/>
    </row>
    <row r="625" spans="15:40" ht="15" customHeight="1" x14ac:dyDescent="0.2">
      <c r="O625" s="336" t="s">
        <v>512</v>
      </c>
      <c r="P625" s="323"/>
      <c r="Q625" s="333"/>
      <c r="AJ625" s="46"/>
      <c r="AK625" s="47"/>
      <c r="AL625" s="383"/>
      <c r="AM625" s="383"/>
      <c r="AN625" s="383"/>
    </row>
    <row r="626" spans="15:40" ht="15" customHeight="1" x14ac:dyDescent="0.2">
      <c r="O626" s="339" t="s">
        <v>1447</v>
      </c>
      <c r="P626" s="323" t="s">
        <v>219</v>
      </c>
      <c r="Q626" s="333"/>
      <c r="AJ626" s="46"/>
      <c r="AK626" s="47"/>
      <c r="AL626" s="383"/>
      <c r="AM626" s="383"/>
      <c r="AN626" s="383"/>
    </row>
    <row r="627" spans="15:40" ht="15" customHeight="1" x14ac:dyDescent="0.2">
      <c r="O627" s="339" t="s">
        <v>1448</v>
      </c>
      <c r="P627" s="323" t="s">
        <v>219</v>
      </c>
      <c r="AJ627" s="46"/>
      <c r="AK627" s="47"/>
      <c r="AL627" s="383"/>
      <c r="AM627" s="383"/>
      <c r="AN627" s="383"/>
    </row>
    <row r="628" spans="15:40" ht="15" customHeight="1" x14ac:dyDescent="0.2">
      <c r="O628" s="339" t="s">
        <v>1449</v>
      </c>
      <c r="P628" s="323" t="s">
        <v>219</v>
      </c>
      <c r="AJ628" s="46"/>
      <c r="AK628" s="47"/>
      <c r="AL628" s="383"/>
      <c r="AM628" s="383"/>
      <c r="AN628" s="383"/>
    </row>
    <row r="629" spans="15:40" ht="15" customHeight="1" x14ac:dyDescent="0.2">
      <c r="O629" s="339" t="s">
        <v>1450</v>
      </c>
      <c r="P629" s="323" t="s">
        <v>219</v>
      </c>
      <c r="AJ629" s="46"/>
      <c r="AK629" s="47"/>
      <c r="AL629" s="383"/>
      <c r="AM629" s="383"/>
      <c r="AN629" s="383"/>
    </row>
    <row r="630" spans="15:40" ht="15" customHeight="1" x14ac:dyDescent="0.2">
      <c r="O630" s="339" t="s">
        <v>1451</v>
      </c>
      <c r="P630" s="323" t="s">
        <v>219</v>
      </c>
      <c r="AJ630" s="46"/>
      <c r="AK630" s="47"/>
      <c r="AL630" s="383"/>
      <c r="AM630" s="383"/>
      <c r="AN630" s="383"/>
    </row>
    <row r="631" spans="15:40" ht="15" customHeight="1" x14ac:dyDescent="0.2">
      <c r="O631" s="339" t="s">
        <v>1452</v>
      </c>
      <c r="P631" s="323" t="s">
        <v>219</v>
      </c>
      <c r="AJ631" s="46"/>
      <c r="AK631" s="47"/>
      <c r="AL631" s="383"/>
      <c r="AM631" s="383"/>
      <c r="AN631" s="383"/>
    </row>
    <row r="632" spans="15:40" ht="15" customHeight="1" x14ac:dyDescent="0.2">
      <c r="O632" s="339" t="s">
        <v>1453</v>
      </c>
      <c r="P632" s="323" t="s">
        <v>219</v>
      </c>
      <c r="AJ632" s="46"/>
      <c r="AK632" s="47"/>
      <c r="AL632" s="383"/>
      <c r="AM632" s="383"/>
      <c r="AN632" s="383"/>
    </row>
    <row r="633" spans="15:40" ht="15" customHeight="1" x14ac:dyDescent="0.2">
      <c r="O633" s="339" t="s">
        <v>1454</v>
      </c>
      <c r="P633" s="323" t="s">
        <v>219</v>
      </c>
      <c r="AJ633" s="46"/>
      <c r="AK633" s="47"/>
      <c r="AL633" s="383"/>
      <c r="AM633" s="383"/>
      <c r="AN633" s="383"/>
    </row>
    <row r="634" spans="15:40" ht="15" customHeight="1" x14ac:dyDescent="0.2">
      <c r="O634" s="339" t="s">
        <v>1455</v>
      </c>
      <c r="P634" s="323" t="s">
        <v>219</v>
      </c>
      <c r="AJ634" s="46"/>
      <c r="AK634" s="47"/>
      <c r="AL634" s="383"/>
      <c r="AM634" s="383"/>
      <c r="AN634" s="383"/>
    </row>
    <row r="635" spans="15:40" ht="15" customHeight="1" x14ac:dyDescent="0.2">
      <c r="O635" s="339" t="s">
        <v>1456</v>
      </c>
      <c r="P635" s="323" t="s">
        <v>219</v>
      </c>
      <c r="AJ635" s="46"/>
      <c r="AK635" s="47"/>
      <c r="AL635" s="383"/>
      <c r="AM635" s="383"/>
      <c r="AN635" s="383"/>
    </row>
    <row r="636" spans="15:40" ht="15" customHeight="1" x14ac:dyDescent="0.2">
      <c r="O636" s="339" t="s">
        <v>1457</v>
      </c>
      <c r="P636" s="323" t="s">
        <v>219</v>
      </c>
      <c r="AJ636" s="46"/>
      <c r="AK636" s="47"/>
      <c r="AL636" s="383"/>
      <c r="AM636" s="383"/>
      <c r="AN636" s="383"/>
    </row>
    <row r="637" spans="15:40" ht="15" customHeight="1" x14ac:dyDescent="0.2">
      <c r="O637" s="339" t="s">
        <v>1458</v>
      </c>
      <c r="P637" s="323" t="s">
        <v>219</v>
      </c>
      <c r="AJ637" s="46"/>
      <c r="AK637" s="47"/>
      <c r="AL637" s="383"/>
      <c r="AM637" s="383"/>
      <c r="AN637" s="383"/>
    </row>
    <row r="638" spans="15:40" ht="15" customHeight="1" x14ac:dyDescent="0.2">
      <c r="O638" s="339" t="s">
        <v>1459</v>
      </c>
      <c r="P638" s="323" t="s">
        <v>219</v>
      </c>
      <c r="AJ638" s="46"/>
      <c r="AK638" s="47"/>
      <c r="AL638" s="383"/>
      <c r="AM638" s="383"/>
      <c r="AN638" s="383"/>
    </row>
    <row r="639" spans="15:40" ht="15" customHeight="1" x14ac:dyDescent="0.2">
      <c r="O639" s="339" t="s">
        <v>1460</v>
      </c>
      <c r="P639" s="323" t="s">
        <v>219</v>
      </c>
      <c r="AJ639" s="46"/>
      <c r="AK639" s="47"/>
      <c r="AL639" s="383"/>
      <c r="AM639" s="383"/>
      <c r="AN639" s="383"/>
    </row>
    <row r="640" spans="15:40" ht="15" customHeight="1" x14ac:dyDescent="0.2">
      <c r="O640" s="339" t="s">
        <v>1461</v>
      </c>
      <c r="P640" s="323" t="s">
        <v>219</v>
      </c>
      <c r="AJ640" s="46"/>
      <c r="AK640" s="47"/>
      <c r="AL640" s="383"/>
      <c r="AM640" s="383"/>
      <c r="AN640" s="383"/>
    </row>
    <row r="641" spans="15:40" ht="15" customHeight="1" x14ac:dyDescent="0.2">
      <c r="O641" s="339" t="s">
        <v>1462</v>
      </c>
      <c r="P641" s="323" t="s">
        <v>219</v>
      </c>
      <c r="AJ641" s="46"/>
      <c r="AK641" s="47"/>
      <c r="AL641" s="383"/>
      <c r="AM641" s="383"/>
      <c r="AN641" s="383"/>
    </row>
    <row r="642" spans="15:40" ht="15" customHeight="1" x14ac:dyDescent="0.2">
      <c r="O642" s="339" t="s">
        <v>1463</v>
      </c>
      <c r="P642" s="323" t="s">
        <v>219</v>
      </c>
      <c r="Q642" s="333"/>
      <c r="AJ642" s="46"/>
      <c r="AK642" s="47"/>
      <c r="AL642" s="383"/>
      <c r="AM642" s="383"/>
      <c r="AN642" s="383"/>
    </row>
    <row r="643" spans="15:40" ht="15" customHeight="1" x14ac:dyDescent="0.2">
      <c r="O643" s="339" t="s">
        <v>1464</v>
      </c>
      <c r="P643" s="323" t="s">
        <v>219</v>
      </c>
      <c r="AJ643" s="46"/>
      <c r="AK643" s="47"/>
      <c r="AL643" s="383"/>
      <c r="AM643" s="383"/>
      <c r="AN643" s="383"/>
    </row>
    <row r="644" spans="15:40" ht="15" customHeight="1" x14ac:dyDescent="0.2">
      <c r="O644" s="339" t="s">
        <v>1465</v>
      </c>
      <c r="P644" s="323" t="s">
        <v>219</v>
      </c>
      <c r="AJ644" s="46"/>
      <c r="AK644" s="47"/>
      <c r="AL644" s="383"/>
      <c r="AM644" s="383"/>
      <c r="AN644" s="383"/>
    </row>
    <row r="645" spans="15:40" ht="15" customHeight="1" x14ac:dyDescent="0.2">
      <c r="O645" s="339" t="s">
        <v>1466</v>
      </c>
      <c r="P645" s="323" t="s">
        <v>219</v>
      </c>
      <c r="AJ645" s="46"/>
      <c r="AK645" s="47"/>
      <c r="AL645" s="383"/>
      <c r="AM645" s="383"/>
      <c r="AN645" s="383"/>
    </row>
    <row r="646" spans="15:40" ht="15" customHeight="1" thickBot="1" x14ac:dyDescent="0.25">
      <c r="O646" s="338" t="s">
        <v>1467</v>
      </c>
      <c r="P646" s="326" t="s">
        <v>216</v>
      </c>
      <c r="Q646" s="353"/>
      <c r="AJ646" s="46"/>
      <c r="AK646" s="47"/>
      <c r="AL646" s="383"/>
      <c r="AM646" s="383"/>
      <c r="AN646" s="383"/>
    </row>
    <row r="647" spans="15:40" ht="15" customHeight="1" x14ac:dyDescent="0.2">
      <c r="O647" s="345" t="s">
        <v>1468</v>
      </c>
      <c r="P647" s="326"/>
      <c r="AJ647" s="46"/>
      <c r="AK647" s="47"/>
      <c r="AL647" s="383"/>
      <c r="AM647" s="383"/>
      <c r="AN647" s="383"/>
    </row>
    <row r="648" spans="15:40" ht="15" customHeight="1" x14ac:dyDescent="0.2">
      <c r="O648" s="339" t="s">
        <v>1469</v>
      </c>
      <c r="P648" s="323" t="s">
        <v>219</v>
      </c>
      <c r="AJ648" s="46"/>
      <c r="AK648" s="47"/>
      <c r="AL648" s="383"/>
      <c r="AM648" s="383"/>
      <c r="AN648" s="383"/>
    </row>
    <row r="649" spans="15:40" ht="15" customHeight="1" x14ac:dyDescent="0.2">
      <c r="O649" s="339" t="s">
        <v>1470</v>
      </c>
      <c r="P649" s="323" t="s">
        <v>219</v>
      </c>
      <c r="AJ649" s="46"/>
      <c r="AK649" s="47"/>
      <c r="AL649" s="383"/>
      <c r="AM649" s="383"/>
      <c r="AN649" s="383"/>
    </row>
    <row r="650" spans="15:40" ht="15" customHeight="1" x14ac:dyDescent="0.2">
      <c r="O650" s="339" t="s">
        <v>1471</v>
      </c>
      <c r="P650" s="323" t="s">
        <v>219</v>
      </c>
      <c r="AJ650" s="46"/>
      <c r="AK650" s="47"/>
      <c r="AL650" s="383"/>
      <c r="AM650" s="383"/>
      <c r="AN650" s="383"/>
    </row>
    <row r="651" spans="15:40" ht="15" customHeight="1" x14ac:dyDescent="0.2">
      <c r="O651" s="339" t="s">
        <v>1472</v>
      </c>
      <c r="P651" s="323" t="s">
        <v>219</v>
      </c>
      <c r="AJ651" s="46"/>
      <c r="AK651" s="47"/>
      <c r="AL651" s="383"/>
      <c r="AM651" s="383"/>
      <c r="AN651" s="383"/>
    </row>
    <row r="652" spans="15:40" ht="15" customHeight="1" x14ac:dyDescent="0.2">
      <c r="O652" s="339" t="s">
        <v>1473</v>
      </c>
      <c r="P652" s="323" t="s">
        <v>219</v>
      </c>
      <c r="AJ652" s="46"/>
      <c r="AK652" s="47"/>
      <c r="AL652" s="383"/>
      <c r="AM652" s="383"/>
      <c r="AN652" s="383"/>
    </row>
    <row r="653" spans="15:40" ht="15" customHeight="1" x14ac:dyDescent="0.2">
      <c r="O653" s="339" t="s">
        <v>1474</v>
      </c>
      <c r="P653" s="323" t="s">
        <v>219</v>
      </c>
      <c r="AJ653" s="46"/>
      <c r="AK653" s="47"/>
      <c r="AL653" s="383"/>
      <c r="AM653" s="383"/>
      <c r="AN653" s="383"/>
    </row>
    <row r="654" spans="15:40" ht="15" customHeight="1" x14ac:dyDescent="0.2">
      <c r="O654" s="339" t="s">
        <v>1475</v>
      </c>
      <c r="P654" s="323" t="s">
        <v>219</v>
      </c>
      <c r="AJ654" s="46"/>
      <c r="AK654" s="47"/>
      <c r="AL654" s="383"/>
      <c r="AM654" s="383"/>
      <c r="AN654" s="383"/>
    </row>
    <row r="655" spans="15:40" ht="15" customHeight="1" x14ac:dyDescent="0.2">
      <c r="O655" s="339" t="s">
        <v>1476</v>
      </c>
      <c r="P655" s="323" t="s">
        <v>219</v>
      </c>
      <c r="AJ655" s="46"/>
      <c r="AK655" s="47"/>
      <c r="AL655" s="383"/>
      <c r="AM655" s="383"/>
      <c r="AN655" s="383"/>
    </row>
    <row r="656" spans="15:40" ht="15" customHeight="1" x14ac:dyDescent="0.2">
      <c r="O656" s="339" t="s">
        <v>1477</v>
      </c>
      <c r="P656" s="323" t="s">
        <v>219</v>
      </c>
      <c r="Q656" s="333"/>
      <c r="AJ656" s="46"/>
      <c r="AK656" s="47"/>
      <c r="AL656" s="383"/>
      <c r="AM656" s="383"/>
      <c r="AN656" s="383"/>
    </row>
    <row r="657" spans="15:40" ht="15" customHeight="1" x14ac:dyDescent="0.2">
      <c r="O657" s="339" t="s">
        <v>1478</v>
      </c>
      <c r="P657" s="323" t="s">
        <v>219</v>
      </c>
      <c r="AJ657" s="46"/>
      <c r="AK657" s="47"/>
      <c r="AL657" s="383"/>
      <c r="AM657" s="383"/>
      <c r="AN657" s="383"/>
    </row>
    <row r="658" spans="15:40" ht="15" customHeight="1" x14ac:dyDescent="0.2">
      <c r="O658" s="339" t="s">
        <v>1479</v>
      </c>
      <c r="P658" s="323" t="s">
        <v>219</v>
      </c>
      <c r="AJ658" s="46"/>
      <c r="AK658" s="47"/>
      <c r="AL658" s="383"/>
      <c r="AM658" s="383"/>
      <c r="AN658" s="383"/>
    </row>
    <row r="659" spans="15:40" ht="15" customHeight="1" x14ac:dyDescent="0.2">
      <c r="O659" s="339" t="s">
        <v>1480</v>
      </c>
      <c r="P659" s="323" t="s">
        <v>219</v>
      </c>
      <c r="AJ659" s="46"/>
      <c r="AK659" s="47"/>
      <c r="AL659" s="383"/>
      <c r="AM659" s="383"/>
      <c r="AN659" s="383"/>
    </row>
    <row r="660" spans="15:40" ht="15" customHeight="1" x14ac:dyDescent="0.2">
      <c r="O660" s="339" t="s">
        <v>1481</v>
      </c>
      <c r="P660" s="323" t="s">
        <v>219</v>
      </c>
      <c r="AJ660" s="46"/>
      <c r="AK660" s="47"/>
      <c r="AL660" s="383"/>
      <c r="AM660" s="383"/>
      <c r="AN660" s="383"/>
    </row>
    <row r="661" spans="15:40" ht="15" customHeight="1" x14ac:dyDescent="0.2">
      <c r="O661" s="339" t="s">
        <v>1482</v>
      </c>
      <c r="P661" s="323" t="s">
        <v>219</v>
      </c>
      <c r="AJ661" s="46"/>
      <c r="AK661" s="47"/>
      <c r="AL661" s="383"/>
      <c r="AM661" s="383"/>
      <c r="AN661" s="383"/>
    </row>
    <row r="662" spans="15:40" ht="15" customHeight="1" x14ac:dyDescent="0.2">
      <c r="O662" s="339" t="s">
        <v>1483</v>
      </c>
      <c r="P662" s="323" t="s">
        <v>219</v>
      </c>
      <c r="AJ662" s="46"/>
      <c r="AK662" s="47"/>
      <c r="AL662" s="383"/>
      <c r="AM662" s="383"/>
      <c r="AN662" s="383"/>
    </row>
    <row r="663" spans="15:40" ht="15" customHeight="1" x14ac:dyDescent="0.2">
      <c r="O663" s="339" t="s">
        <v>1484</v>
      </c>
      <c r="P663" s="323" t="s">
        <v>219</v>
      </c>
      <c r="AJ663" s="46"/>
      <c r="AK663" s="47"/>
      <c r="AL663" s="383"/>
      <c r="AM663" s="383"/>
      <c r="AN663" s="383"/>
    </row>
    <row r="664" spans="15:40" ht="15" customHeight="1" thickBot="1" x14ac:dyDescent="0.25">
      <c r="O664" s="340" t="s">
        <v>1485</v>
      </c>
      <c r="P664" s="323" t="s">
        <v>219</v>
      </c>
      <c r="AJ664" s="46"/>
      <c r="AK664" s="47"/>
      <c r="AL664" s="383"/>
      <c r="AM664" s="383"/>
      <c r="AN664" s="383"/>
    </row>
    <row r="665" spans="15:40" ht="15" customHeight="1" thickBot="1" x14ac:dyDescent="0.25">
      <c r="O665" s="336" t="s">
        <v>1486</v>
      </c>
      <c r="P665" s="323"/>
      <c r="AJ665" s="46"/>
      <c r="AK665" s="47"/>
      <c r="AL665" s="383"/>
      <c r="AM665" s="383"/>
      <c r="AN665" s="383"/>
    </row>
    <row r="666" spans="15:40" ht="15" customHeight="1" x14ac:dyDescent="0.2">
      <c r="O666" s="337" t="s">
        <v>1487</v>
      </c>
      <c r="P666" s="326" t="s">
        <v>216</v>
      </c>
      <c r="AJ666" s="46"/>
      <c r="AK666" s="47"/>
      <c r="AL666" s="383"/>
      <c r="AM666" s="383"/>
      <c r="AN666" s="383"/>
    </row>
    <row r="667" spans="15:40" ht="15" customHeight="1" x14ac:dyDescent="0.2">
      <c r="O667" s="338" t="s">
        <v>1488</v>
      </c>
      <c r="P667" s="326" t="s">
        <v>216</v>
      </c>
      <c r="AJ667" s="46"/>
      <c r="AK667" s="47"/>
      <c r="AL667" s="383"/>
      <c r="AM667" s="383"/>
      <c r="AN667" s="383"/>
    </row>
    <row r="668" spans="15:40" ht="15" customHeight="1" x14ac:dyDescent="0.2">
      <c r="O668" s="339" t="s">
        <v>1489</v>
      </c>
      <c r="P668" s="323" t="s">
        <v>219</v>
      </c>
      <c r="AJ668" s="46"/>
      <c r="AK668" s="47"/>
      <c r="AL668" s="383"/>
      <c r="AM668" s="383"/>
      <c r="AN668" s="383"/>
    </row>
    <row r="669" spans="15:40" ht="15" customHeight="1" x14ac:dyDescent="0.2">
      <c r="O669" s="339" t="s">
        <v>1490</v>
      </c>
      <c r="P669" s="323" t="s">
        <v>219</v>
      </c>
      <c r="AJ669" s="46"/>
      <c r="AK669" s="47"/>
      <c r="AL669" s="383"/>
      <c r="AM669" s="383"/>
      <c r="AN669" s="383"/>
    </row>
    <row r="670" spans="15:40" ht="15" customHeight="1" x14ac:dyDescent="0.2">
      <c r="O670" s="339" t="s">
        <v>1491</v>
      </c>
      <c r="P670" s="323" t="s">
        <v>219</v>
      </c>
      <c r="Q670" s="333"/>
      <c r="AJ670" s="46"/>
      <c r="AK670" s="47"/>
      <c r="AL670" s="383"/>
      <c r="AM670" s="383"/>
      <c r="AN670" s="383"/>
    </row>
    <row r="671" spans="15:40" ht="15" customHeight="1" x14ac:dyDescent="0.2">
      <c r="O671" s="339" t="s">
        <v>1492</v>
      </c>
      <c r="P671" s="323" t="s">
        <v>219</v>
      </c>
      <c r="AJ671" s="46"/>
      <c r="AK671" s="47"/>
      <c r="AL671" s="383"/>
      <c r="AM671" s="383"/>
      <c r="AN671" s="383"/>
    </row>
    <row r="672" spans="15:40" ht="15" customHeight="1" x14ac:dyDescent="0.2">
      <c r="O672" s="339" t="s">
        <v>1493</v>
      </c>
      <c r="P672" s="323" t="s">
        <v>219</v>
      </c>
      <c r="AJ672" s="46"/>
      <c r="AK672" s="47"/>
      <c r="AL672" s="383"/>
      <c r="AM672" s="383"/>
      <c r="AN672" s="383"/>
    </row>
    <row r="673" spans="15:40" ht="15" customHeight="1" x14ac:dyDescent="0.2">
      <c r="O673" s="339" t="s">
        <v>1494</v>
      </c>
      <c r="P673" s="323" t="s">
        <v>219</v>
      </c>
      <c r="AJ673" s="46"/>
      <c r="AK673" s="47"/>
      <c r="AL673" s="383"/>
      <c r="AM673" s="383"/>
      <c r="AN673" s="383"/>
    </row>
    <row r="674" spans="15:40" ht="15" customHeight="1" x14ac:dyDescent="0.2">
      <c r="O674" s="339" t="s">
        <v>1495</v>
      </c>
      <c r="P674" s="323" t="s">
        <v>219</v>
      </c>
      <c r="AJ674" s="46"/>
      <c r="AK674" s="47"/>
      <c r="AL674" s="383"/>
      <c r="AM674" s="383"/>
      <c r="AN674" s="383"/>
    </row>
    <row r="675" spans="15:40" ht="15" customHeight="1" x14ac:dyDescent="0.2">
      <c r="O675" s="339" t="s">
        <v>1496</v>
      </c>
      <c r="P675" s="323" t="s">
        <v>219</v>
      </c>
      <c r="AJ675" s="46"/>
      <c r="AK675" s="47"/>
      <c r="AL675" s="383"/>
      <c r="AM675" s="383"/>
      <c r="AN675" s="383"/>
    </row>
    <row r="676" spans="15:40" ht="15" customHeight="1" x14ac:dyDescent="0.2">
      <c r="O676" s="339" t="s">
        <v>1497</v>
      </c>
      <c r="P676" s="323" t="s">
        <v>219</v>
      </c>
      <c r="AJ676" s="46"/>
      <c r="AK676" s="47"/>
      <c r="AL676" s="383"/>
      <c r="AM676" s="383"/>
      <c r="AN676" s="383"/>
    </row>
    <row r="677" spans="15:40" ht="15" customHeight="1" x14ac:dyDescent="0.2">
      <c r="O677" s="339" t="s">
        <v>1498</v>
      </c>
      <c r="P677" s="323" t="s">
        <v>219</v>
      </c>
      <c r="AJ677" s="46"/>
      <c r="AK677" s="47"/>
      <c r="AL677" s="383"/>
      <c r="AM677" s="383"/>
      <c r="AN677" s="383"/>
    </row>
    <row r="678" spans="15:40" ht="15" customHeight="1" x14ac:dyDescent="0.2">
      <c r="O678" s="339" t="s">
        <v>1499</v>
      </c>
      <c r="P678" s="323" t="s">
        <v>219</v>
      </c>
      <c r="AJ678" s="46"/>
      <c r="AK678" s="47"/>
      <c r="AL678" s="383"/>
      <c r="AM678" s="383"/>
      <c r="AN678" s="383"/>
    </row>
    <row r="679" spans="15:40" ht="15" customHeight="1" x14ac:dyDescent="0.2">
      <c r="O679" s="339" t="s">
        <v>1500</v>
      </c>
      <c r="P679" s="323" t="s">
        <v>219</v>
      </c>
      <c r="AJ679" s="46"/>
      <c r="AK679" s="47"/>
      <c r="AL679" s="383"/>
      <c r="AM679" s="383"/>
      <c r="AN679" s="383"/>
    </row>
    <row r="680" spans="15:40" ht="15" customHeight="1" x14ac:dyDescent="0.2">
      <c r="O680" s="339" t="s">
        <v>1501</v>
      </c>
      <c r="P680" s="323" t="s">
        <v>219</v>
      </c>
      <c r="AJ680" s="46"/>
      <c r="AK680" s="47"/>
      <c r="AL680" s="383"/>
      <c r="AM680" s="383"/>
      <c r="AN680" s="383"/>
    </row>
    <row r="681" spans="15:40" ht="15" customHeight="1" x14ac:dyDescent="0.2">
      <c r="O681" s="339" t="s">
        <v>1502</v>
      </c>
      <c r="P681" s="323" t="s">
        <v>219</v>
      </c>
      <c r="AJ681" s="46"/>
      <c r="AK681" s="47"/>
      <c r="AL681" s="383"/>
      <c r="AM681" s="383"/>
      <c r="AN681" s="383"/>
    </row>
    <row r="682" spans="15:40" ht="15" customHeight="1" x14ac:dyDescent="0.2">
      <c r="O682" s="339" t="s">
        <v>1503</v>
      </c>
      <c r="P682" s="323" t="s">
        <v>219</v>
      </c>
      <c r="AJ682" s="46"/>
      <c r="AK682" s="47"/>
      <c r="AL682" s="383"/>
      <c r="AM682" s="383"/>
      <c r="AN682" s="383"/>
    </row>
    <row r="683" spans="15:40" ht="15" customHeight="1" x14ac:dyDescent="0.2">
      <c r="O683" s="339" t="s">
        <v>1504</v>
      </c>
      <c r="P683" s="323" t="s">
        <v>219</v>
      </c>
      <c r="AJ683" s="46"/>
      <c r="AK683" s="47"/>
      <c r="AL683" s="383"/>
      <c r="AM683" s="383"/>
      <c r="AN683" s="383"/>
    </row>
    <row r="684" spans="15:40" ht="15" customHeight="1" x14ac:dyDescent="0.2">
      <c r="O684" s="339" t="s">
        <v>1505</v>
      </c>
      <c r="P684" s="323" t="s">
        <v>219</v>
      </c>
      <c r="AJ684" s="46"/>
      <c r="AK684" s="47"/>
      <c r="AL684" s="383"/>
      <c r="AM684" s="383"/>
      <c r="AN684" s="383"/>
    </row>
    <row r="685" spans="15:40" ht="15" customHeight="1" x14ac:dyDescent="0.2">
      <c r="O685" s="339" t="s">
        <v>1506</v>
      </c>
      <c r="P685" s="323" t="s">
        <v>219</v>
      </c>
      <c r="Q685" s="333"/>
      <c r="AJ685" s="46"/>
      <c r="AK685" s="47"/>
      <c r="AL685" s="383"/>
      <c r="AM685" s="383"/>
      <c r="AN685" s="383"/>
    </row>
    <row r="686" spans="15:40" ht="15" customHeight="1" x14ac:dyDescent="0.2">
      <c r="O686" s="339" t="s">
        <v>1507</v>
      </c>
      <c r="P686" s="323" t="s">
        <v>219</v>
      </c>
      <c r="AJ686" s="46"/>
      <c r="AK686" s="47"/>
      <c r="AL686" s="383"/>
      <c r="AM686" s="383"/>
      <c r="AN686" s="383"/>
    </row>
    <row r="687" spans="15:40" ht="15" customHeight="1" thickBot="1" x14ac:dyDescent="0.25">
      <c r="O687" s="340" t="s">
        <v>1508</v>
      </c>
      <c r="P687" s="323" t="s">
        <v>219</v>
      </c>
      <c r="AJ687" s="46"/>
      <c r="AK687" s="47"/>
      <c r="AL687" s="383"/>
      <c r="AM687" s="383"/>
      <c r="AN687" s="383"/>
    </row>
    <row r="688" spans="15:40" ht="15" customHeight="1" thickBot="1" x14ac:dyDescent="0.25">
      <c r="O688" s="341" t="s">
        <v>1509</v>
      </c>
      <c r="P688" s="323"/>
      <c r="AJ688" s="46"/>
      <c r="AK688" s="47"/>
      <c r="AL688" s="383"/>
      <c r="AM688" s="383"/>
      <c r="AN688" s="383"/>
    </row>
    <row r="689" spans="15:40" ht="15" customHeight="1" x14ac:dyDescent="0.2">
      <c r="O689" s="337" t="s">
        <v>1510</v>
      </c>
      <c r="P689" s="326" t="s">
        <v>216</v>
      </c>
      <c r="AJ689" s="46"/>
      <c r="AK689" s="47"/>
      <c r="AL689" s="383"/>
      <c r="AM689" s="383"/>
      <c r="AN689" s="383"/>
    </row>
    <row r="690" spans="15:40" ht="15" customHeight="1" x14ac:dyDescent="0.2">
      <c r="O690" s="338" t="s">
        <v>1511</v>
      </c>
      <c r="P690" s="326" t="s">
        <v>216</v>
      </c>
      <c r="AJ690" s="46"/>
      <c r="AK690" s="47"/>
      <c r="AL690" s="383"/>
      <c r="AM690" s="383"/>
      <c r="AN690" s="383"/>
    </row>
    <row r="691" spans="15:40" ht="15" customHeight="1" x14ac:dyDescent="0.2">
      <c r="O691" s="338" t="s">
        <v>1512</v>
      </c>
      <c r="P691" s="326" t="s">
        <v>216</v>
      </c>
      <c r="AJ691" s="46"/>
      <c r="AK691" s="47"/>
      <c r="AL691" s="383"/>
      <c r="AM691" s="383"/>
      <c r="AN691" s="383"/>
    </row>
    <row r="692" spans="15:40" ht="15" customHeight="1" x14ac:dyDescent="0.2">
      <c r="O692" s="339" t="s">
        <v>1513</v>
      </c>
      <c r="P692" s="323" t="s">
        <v>219</v>
      </c>
      <c r="AJ692" s="46"/>
      <c r="AK692" s="47"/>
      <c r="AL692" s="383"/>
      <c r="AM692" s="383"/>
      <c r="AN692" s="383"/>
    </row>
    <row r="693" spans="15:40" ht="15" customHeight="1" x14ac:dyDescent="0.2">
      <c r="O693" s="339" t="s">
        <v>1514</v>
      </c>
      <c r="P693" s="323" t="s">
        <v>219</v>
      </c>
      <c r="AJ693" s="46"/>
      <c r="AK693" s="47"/>
      <c r="AL693" s="383"/>
      <c r="AM693" s="383"/>
      <c r="AN693" s="383"/>
    </row>
    <row r="694" spans="15:40" ht="15" customHeight="1" x14ac:dyDescent="0.2">
      <c r="O694" s="339" t="s">
        <v>1515</v>
      </c>
      <c r="P694" s="323" t="s">
        <v>219</v>
      </c>
      <c r="AJ694" s="46"/>
      <c r="AK694" s="47"/>
      <c r="AL694" s="383"/>
      <c r="AM694" s="383"/>
      <c r="AN694" s="383"/>
    </row>
    <row r="695" spans="15:40" ht="15" customHeight="1" x14ac:dyDescent="0.2">
      <c r="O695" s="339" t="s">
        <v>1516</v>
      </c>
      <c r="P695" s="323" t="s">
        <v>219</v>
      </c>
      <c r="AJ695" s="46"/>
      <c r="AK695" s="47"/>
      <c r="AL695" s="383"/>
      <c r="AM695" s="383"/>
      <c r="AN695" s="383"/>
    </row>
    <row r="696" spans="15:40" ht="15" customHeight="1" x14ac:dyDescent="0.2">
      <c r="O696" s="339" t="s">
        <v>1517</v>
      </c>
      <c r="P696" s="323" t="s">
        <v>219</v>
      </c>
      <c r="AJ696" s="46"/>
      <c r="AK696" s="47"/>
      <c r="AL696" s="383"/>
      <c r="AM696" s="383"/>
      <c r="AN696" s="383"/>
    </row>
    <row r="697" spans="15:40" ht="15" customHeight="1" x14ac:dyDescent="0.2">
      <c r="O697" s="339" t="s">
        <v>1518</v>
      </c>
      <c r="P697" s="323" t="s">
        <v>219</v>
      </c>
      <c r="AJ697" s="46"/>
      <c r="AK697" s="47"/>
      <c r="AL697" s="383"/>
      <c r="AM697" s="383"/>
      <c r="AN697" s="383"/>
    </row>
    <row r="698" spans="15:40" ht="15" customHeight="1" x14ac:dyDescent="0.2">
      <c r="O698" s="339" t="s">
        <v>1519</v>
      </c>
      <c r="P698" s="323" t="s">
        <v>219</v>
      </c>
      <c r="AJ698" s="46"/>
      <c r="AK698" s="47"/>
      <c r="AL698" s="383"/>
      <c r="AM698" s="383"/>
      <c r="AN698" s="383"/>
    </row>
    <row r="699" spans="15:40" ht="15" customHeight="1" x14ac:dyDescent="0.2">
      <c r="O699" s="339" t="s">
        <v>1520</v>
      </c>
      <c r="P699" s="323" t="s">
        <v>219</v>
      </c>
      <c r="Q699" s="333"/>
      <c r="AJ699" s="46"/>
      <c r="AK699" s="47"/>
      <c r="AL699" s="383"/>
      <c r="AM699" s="383"/>
      <c r="AN699" s="383"/>
    </row>
    <row r="700" spans="15:40" ht="15" customHeight="1" x14ac:dyDescent="0.2">
      <c r="O700" s="339" t="s">
        <v>1521</v>
      </c>
      <c r="P700" s="323" t="s">
        <v>219</v>
      </c>
      <c r="AJ700" s="46"/>
      <c r="AK700" s="47"/>
      <c r="AL700" s="383"/>
      <c r="AM700" s="383"/>
      <c r="AN700" s="383"/>
    </row>
    <row r="701" spans="15:40" ht="15" customHeight="1" x14ac:dyDescent="0.2">
      <c r="O701" s="339" t="s">
        <v>1522</v>
      </c>
      <c r="P701" s="323" t="s">
        <v>219</v>
      </c>
      <c r="AJ701" s="46"/>
      <c r="AK701" s="47"/>
      <c r="AL701" s="383"/>
      <c r="AM701" s="383"/>
      <c r="AN701" s="383"/>
    </row>
    <row r="702" spans="15:40" ht="15" customHeight="1" x14ac:dyDescent="0.2">
      <c r="O702" s="339" t="s">
        <v>1523</v>
      </c>
      <c r="P702" s="323" t="s">
        <v>219</v>
      </c>
      <c r="AJ702" s="46"/>
      <c r="AK702" s="47"/>
      <c r="AL702" s="383"/>
      <c r="AM702" s="383"/>
      <c r="AN702" s="383"/>
    </row>
    <row r="703" spans="15:40" ht="15" customHeight="1" x14ac:dyDescent="0.2">
      <c r="O703" s="339" t="s">
        <v>1524</v>
      </c>
      <c r="P703" s="323" t="s">
        <v>219</v>
      </c>
      <c r="AJ703" s="46"/>
      <c r="AK703" s="47"/>
      <c r="AL703" s="383"/>
      <c r="AM703" s="383"/>
      <c r="AN703" s="383"/>
    </row>
    <row r="704" spans="15:40" ht="15" customHeight="1" x14ac:dyDescent="0.2">
      <c r="O704" s="339" t="s">
        <v>1525</v>
      </c>
      <c r="P704" s="323" t="s">
        <v>219</v>
      </c>
      <c r="AJ704" s="46"/>
      <c r="AK704" s="47"/>
      <c r="AL704" s="383"/>
      <c r="AM704" s="383"/>
      <c r="AN704" s="383"/>
    </row>
    <row r="705" spans="15:40" ht="15" customHeight="1" x14ac:dyDescent="0.2">
      <c r="O705" s="339" t="s">
        <v>1526</v>
      </c>
      <c r="P705" s="323" t="s">
        <v>219</v>
      </c>
      <c r="AJ705" s="46"/>
      <c r="AK705" s="47"/>
      <c r="AL705" s="383"/>
      <c r="AM705" s="383"/>
      <c r="AN705" s="383"/>
    </row>
    <row r="706" spans="15:40" ht="15" customHeight="1" x14ac:dyDescent="0.2">
      <c r="O706" s="339" t="s">
        <v>1527</v>
      </c>
      <c r="P706" s="323" t="s">
        <v>219</v>
      </c>
      <c r="AJ706" s="46"/>
      <c r="AK706" s="47"/>
      <c r="AL706" s="383"/>
      <c r="AM706" s="383"/>
      <c r="AN706" s="383"/>
    </row>
    <row r="707" spans="15:40" ht="15" customHeight="1" x14ac:dyDescent="0.2">
      <c r="O707" s="339" t="s">
        <v>1528</v>
      </c>
      <c r="P707" s="323" t="s">
        <v>219</v>
      </c>
      <c r="AJ707" s="46"/>
      <c r="AK707" s="47"/>
      <c r="AL707" s="383"/>
      <c r="AM707" s="383"/>
      <c r="AN707" s="383"/>
    </row>
    <row r="708" spans="15:40" ht="15" customHeight="1" x14ac:dyDescent="0.2">
      <c r="O708" s="339" t="s">
        <v>1529</v>
      </c>
      <c r="P708" s="323" t="s">
        <v>219</v>
      </c>
      <c r="Q708" s="333"/>
      <c r="AJ708" s="46"/>
      <c r="AK708" s="47"/>
      <c r="AL708" s="383"/>
      <c r="AM708" s="383"/>
      <c r="AN708" s="383"/>
    </row>
    <row r="709" spans="15:40" ht="15" customHeight="1" x14ac:dyDescent="0.2">
      <c r="O709" s="339" t="s">
        <v>1530</v>
      </c>
      <c r="P709" s="323" t="s">
        <v>219</v>
      </c>
      <c r="Q709" s="333"/>
      <c r="AJ709" s="46"/>
      <c r="AK709" s="47"/>
      <c r="AL709" s="383"/>
      <c r="AM709" s="383"/>
      <c r="AN709" s="383"/>
    </row>
    <row r="710" spans="15:40" ht="15" customHeight="1" x14ac:dyDescent="0.2">
      <c r="O710" s="339" t="s">
        <v>1531</v>
      </c>
      <c r="P710" s="323" t="s">
        <v>219</v>
      </c>
      <c r="AJ710" s="46"/>
      <c r="AK710" s="47"/>
      <c r="AL710" s="383"/>
      <c r="AM710" s="383"/>
      <c r="AN710" s="383"/>
    </row>
    <row r="711" spans="15:40" ht="15" customHeight="1" thickBot="1" x14ac:dyDescent="0.25">
      <c r="O711" s="340" t="s">
        <v>1532</v>
      </c>
      <c r="P711" s="323" t="s">
        <v>219</v>
      </c>
      <c r="AJ711" s="46"/>
      <c r="AK711" s="47"/>
      <c r="AL711" s="383"/>
      <c r="AM711" s="383"/>
      <c r="AN711" s="383"/>
    </row>
    <row r="712" spans="15:40" ht="15" customHeight="1" thickBot="1" x14ac:dyDescent="0.25">
      <c r="O712" s="342" t="s">
        <v>1533</v>
      </c>
      <c r="P712" s="326"/>
      <c r="AJ712" s="46"/>
      <c r="AK712" s="47"/>
      <c r="AL712" s="383"/>
      <c r="AM712" s="383"/>
      <c r="AN712" s="383"/>
    </row>
    <row r="713" spans="15:40" ht="15" customHeight="1" x14ac:dyDescent="0.2">
      <c r="O713" s="337" t="s">
        <v>1534</v>
      </c>
      <c r="P713" s="326" t="s">
        <v>216</v>
      </c>
      <c r="AJ713" s="46"/>
      <c r="AK713" s="47"/>
      <c r="AL713" s="383"/>
      <c r="AM713" s="383"/>
      <c r="AN713" s="383"/>
    </row>
    <row r="714" spans="15:40" ht="15" customHeight="1" x14ac:dyDescent="0.2">
      <c r="O714" s="338" t="s">
        <v>1535</v>
      </c>
      <c r="P714" s="326" t="s">
        <v>216</v>
      </c>
      <c r="AJ714" s="46"/>
      <c r="AK714" s="47"/>
      <c r="AL714" s="383"/>
      <c r="AM714" s="383"/>
      <c r="AN714" s="383"/>
    </row>
    <row r="715" spans="15:40" ht="15" customHeight="1" x14ac:dyDescent="0.2">
      <c r="O715" s="339" t="s">
        <v>1536</v>
      </c>
      <c r="P715" s="323" t="s">
        <v>219</v>
      </c>
      <c r="Q715" s="333"/>
      <c r="AJ715" s="46"/>
      <c r="AK715" s="47"/>
      <c r="AL715" s="383"/>
      <c r="AM715" s="383"/>
      <c r="AN715" s="383"/>
    </row>
    <row r="716" spans="15:40" ht="15" customHeight="1" x14ac:dyDescent="0.2">
      <c r="O716" s="339" t="s">
        <v>1537</v>
      </c>
      <c r="P716" s="323" t="s">
        <v>219</v>
      </c>
      <c r="AJ716" s="46"/>
      <c r="AK716" s="47"/>
      <c r="AL716" s="383"/>
      <c r="AM716" s="383"/>
      <c r="AN716" s="383"/>
    </row>
    <row r="717" spans="15:40" ht="15" customHeight="1" x14ac:dyDescent="0.2">
      <c r="O717" s="339" t="s">
        <v>1538</v>
      </c>
      <c r="P717" s="323" t="s">
        <v>219</v>
      </c>
      <c r="AJ717" s="46"/>
      <c r="AK717" s="47"/>
      <c r="AL717" s="383"/>
      <c r="AM717" s="383"/>
      <c r="AN717" s="383"/>
    </row>
    <row r="718" spans="15:40" ht="15" customHeight="1" x14ac:dyDescent="0.2">
      <c r="O718" s="339" t="s">
        <v>1539</v>
      </c>
      <c r="P718" s="323" t="s">
        <v>219</v>
      </c>
      <c r="AJ718" s="46"/>
      <c r="AK718" s="47"/>
      <c r="AL718" s="383"/>
      <c r="AM718" s="383"/>
      <c r="AN718" s="383"/>
    </row>
    <row r="719" spans="15:40" ht="15" customHeight="1" x14ac:dyDescent="0.2">
      <c r="O719" s="339" t="s">
        <v>1540</v>
      </c>
      <c r="P719" s="323" t="s">
        <v>219</v>
      </c>
      <c r="AJ719" s="46"/>
      <c r="AK719" s="47"/>
      <c r="AL719" s="383"/>
      <c r="AM719" s="383"/>
      <c r="AN719" s="383"/>
    </row>
    <row r="720" spans="15:40" ht="15" customHeight="1" x14ac:dyDescent="0.2">
      <c r="O720" s="339" t="s">
        <v>1541</v>
      </c>
      <c r="P720" s="323" t="s">
        <v>219</v>
      </c>
      <c r="Q720" s="353"/>
      <c r="AJ720" s="46"/>
      <c r="AK720" s="47"/>
      <c r="AL720" s="383"/>
      <c r="AM720" s="383"/>
      <c r="AN720" s="383"/>
    </row>
    <row r="721" spans="15:40" ht="15" customHeight="1" x14ac:dyDescent="0.2">
      <c r="O721" s="339" t="s">
        <v>1542</v>
      </c>
      <c r="P721" s="323" t="s">
        <v>219</v>
      </c>
      <c r="Q721" s="353"/>
      <c r="AJ721" s="46"/>
      <c r="AK721" s="47"/>
      <c r="AL721" s="383"/>
      <c r="AM721" s="383"/>
      <c r="AN721" s="383"/>
    </row>
    <row r="722" spans="15:40" ht="15" customHeight="1" x14ac:dyDescent="0.2">
      <c r="O722" s="339" t="s">
        <v>1543</v>
      </c>
      <c r="P722" s="323" t="s">
        <v>219</v>
      </c>
      <c r="Q722" s="353"/>
      <c r="AJ722" s="46"/>
      <c r="AK722" s="47"/>
      <c r="AL722" s="383"/>
      <c r="AM722" s="383"/>
      <c r="AN722" s="383"/>
    </row>
    <row r="723" spans="15:40" ht="15" customHeight="1" x14ac:dyDescent="0.2">
      <c r="O723" s="339" t="s">
        <v>1544</v>
      </c>
      <c r="P723" s="323" t="s">
        <v>219</v>
      </c>
      <c r="AJ723" s="46"/>
      <c r="AK723" s="47"/>
      <c r="AL723" s="383"/>
      <c r="AM723" s="383"/>
      <c r="AN723" s="383"/>
    </row>
    <row r="724" spans="15:40" ht="15" customHeight="1" x14ac:dyDescent="0.2">
      <c r="O724" s="339" t="s">
        <v>1545</v>
      </c>
      <c r="P724" s="323" t="s">
        <v>219</v>
      </c>
      <c r="AJ724" s="46"/>
      <c r="AK724" s="47"/>
      <c r="AL724" s="383"/>
      <c r="AM724" s="383"/>
      <c r="AN724" s="383"/>
    </row>
    <row r="725" spans="15:40" ht="15" customHeight="1" x14ac:dyDescent="0.2">
      <c r="O725" s="339" t="s">
        <v>1546</v>
      </c>
      <c r="P725" s="323" t="s">
        <v>219</v>
      </c>
      <c r="AJ725" s="46"/>
      <c r="AK725" s="47"/>
      <c r="AL725" s="383"/>
      <c r="AM725" s="383"/>
      <c r="AN725" s="383"/>
    </row>
    <row r="726" spans="15:40" ht="15" customHeight="1" x14ac:dyDescent="0.2">
      <c r="O726" s="339" t="s">
        <v>1547</v>
      </c>
      <c r="P726" s="323" t="s">
        <v>219</v>
      </c>
      <c r="AJ726" s="46"/>
      <c r="AK726" s="47"/>
      <c r="AL726" s="383"/>
      <c r="AM726" s="383"/>
      <c r="AN726" s="383"/>
    </row>
    <row r="727" spans="15:40" ht="15" customHeight="1" x14ac:dyDescent="0.2">
      <c r="O727" s="339" t="s">
        <v>1548</v>
      </c>
      <c r="P727" s="323" t="s">
        <v>219</v>
      </c>
      <c r="AJ727" s="46"/>
      <c r="AK727" s="47"/>
      <c r="AL727" s="383"/>
      <c r="AM727" s="383"/>
      <c r="AN727" s="383"/>
    </row>
    <row r="728" spans="15:40" ht="15" customHeight="1" x14ac:dyDescent="0.2">
      <c r="O728" s="339" t="s">
        <v>1549</v>
      </c>
      <c r="P728" s="323" t="s">
        <v>219</v>
      </c>
      <c r="AJ728" s="46"/>
      <c r="AK728" s="47"/>
      <c r="AL728" s="383"/>
      <c r="AM728" s="383"/>
      <c r="AN728" s="383"/>
    </row>
    <row r="729" spans="15:40" ht="15" customHeight="1" x14ac:dyDescent="0.2">
      <c r="O729" s="339" t="s">
        <v>1550</v>
      </c>
      <c r="P729" s="323" t="s">
        <v>219</v>
      </c>
      <c r="AJ729" s="46"/>
      <c r="AK729" s="47"/>
      <c r="AL729" s="383"/>
      <c r="AM729" s="383"/>
      <c r="AN729" s="383"/>
    </row>
    <row r="730" spans="15:40" ht="15" customHeight="1" x14ac:dyDescent="0.2">
      <c r="O730" s="350" t="s">
        <v>1551</v>
      </c>
      <c r="P730" s="323" t="s">
        <v>219</v>
      </c>
      <c r="AJ730" s="46"/>
      <c r="AK730" s="47"/>
      <c r="AL730" s="383"/>
      <c r="AM730" s="383"/>
      <c r="AN730" s="383"/>
    </row>
    <row r="731" spans="15:40" ht="15" customHeight="1" x14ac:dyDescent="0.2">
      <c r="O731" s="350" t="s">
        <v>1552</v>
      </c>
      <c r="P731" s="323" t="s">
        <v>219</v>
      </c>
      <c r="AJ731" s="46"/>
      <c r="AK731" s="47"/>
      <c r="AL731" s="383"/>
      <c r="AM731" s="383"/>
      <c r="AN731" s="383"/>
    </row>
    <row r="732" spans="15:40" ht="15" customHeight="1" thickBot="1" x14ac:dyDescent="0.25">
      <c r="O732" s="349" t="s">
        <v>1553</v>
      </c>
      <c r="P732" s="323" t="s">
        <v>219</v>
      </c>
      <c r="AJ732" s="46"/>
      <c r="AK732" s="47"/>
      <c r="AL732" s="383"/>
      <c r="AM732" s="383"/>
      <c r="AN732" s="383"/>
    </row>
    <row r="733" spans="15:40" ht="15" customHeight="1" thickBot="1" x14ac:dyDescent="0.25">
      <c r="O733" s="345" t="s">
        <v>1554</v>
      </c>
      <c r="P733" s="323"/>
      <c r="AJ733" s="46"/>
      <c r="AK733" s="47"/>
      <c r="AL733" s="383"/>
      <c r="AM733" s="383"/>
      <c r="AN733" s="383"/>
    </row>
    <row r="734" spans="15:40" ht="15" customHeight="1" x14ac:dyDescent="0.2">
      <c r="O734" s="337" t="s">
        <v>1555</v>
      </c>
      <c r="P734" s="323" t="s">
        <v>1556</v>
      </c>
      <c r="AJ734" s="46"/>
      <c r="AK734" s="47"/>
      <c r="AL734" s="383"/>
      <c r="AM734" s="383"/>
      <c r="AN734" s="383"/>
    </row>
    <row r="735" spans="15:40" ht="15" customHeight="1" x14ac:dyDescent="0.2">
      <c r="O735" s="338" t="s">
        <v>1557</v>
      </c>
      <c r="P735" s="323" t="s">
        <v>1556</v>
      </c>
      <c r="AJ735" s="46"/>
      <c r="AK735" s="47"/>
      <c r="AL735" s="383"/>
      <c r="AM735" s="383"/>
      <c r="AN735" s="383"/>
    </row>
    <row r="736" spans="15:40" ht="15" customHeight="1" x14ac:dyDescent="0.2">
      <c r="O736" s="339" t="s">
        <v>1558</v>
      </c>
      <c r="P736" s="323" t="s">
        <v>219</v>
      </c>
      <c r="AJ736" s="46"/>
      <c r="AK736" s="47"/>
      <c r="AL736" s="383"/>
      <c r="AM736" s="383"/>
      <c r="AN736" s="383"/>
    </row>
    <row r="737" spans="15:40" ht="15" customHeight="1" x14ac:dyDescent="0.2">
      <c r="O737" s="339" t="s">
        <v>1559</v>
      </c>
      <c r="P737" s="323" t="s">
        <v>219</v>
      </c>
      <c r="AJ737" s="46"/>
      <c r="AK737" s="47"/>
      <c r="AL737" s="383"/>
      <c r="AM737" s="383"/>
      <c r="AN737" s="383"/>
    </row>
    <row r="738" spans="15:40" ht="15" customHeight="1" x14ac:dyDescent="0.2">
      <c r="O738" s="339" t="s">
        <v>1560</v>
      </c>
      <c r="P738" s="323" t="s">
        <v>219</v>
      </c>
      <c r="AJ738" s="46"/>
      <c r="AK738" s="47"/>
      <c r="AL738" s="383"/>
      <c r="AM738" s="383"/>
      <c r="AN738" s="383"/>
    </row>
    <row r="739" spans="15:40" ht="15" customHeight="1" x14ac:dyDescent="0.2">
      <c r="O739" s="339" t="s">
        <v>1561</v>
      </c>
      <c r="P739" s="323" t="s">
        <v>219</v>
      </c>
      <c r="AJ739" s="46"/>
      <c r="AK739" s="47"/>
      <c r="AL739" s="383"/>
      <c r="AM739" s="383"/>
      <c r="AN739" s="383"/>
    </row>
    <row r="740" spans="15:40" ht="15" customHeight="1" x14ac:dyDescent="0.2">
      <c r="O740" s="339" t="s">
        <v>1562</v>
      </c>
      <c r="P740" s="323" t="s">
        <v>219</v>
      </c>
      <c r="AJ740" s="46"/>
      <c r="AK740" s="47"/>
      <c r="AL740" s="383"/>
      <c r="AM740" s="383"/>
      <c r="AN740" s="383"/>
    </row>
    <row r="741" spans="15:40" ht="15" customHeight="1" x14ac:dyDescent="0.2">
      <c r="O741" s="339" t="s">
        <v>1563</v>
      </c>
      <c r="P741" s="323" t="s">
        <v>219</v>
      </c>
      <c r="AJ741" s="46"/>
      <c r="AK741" s="47"/>
      <c r="AL741" s="383"/>
      <c r="AM741" s="383"/>
      <c r="AN741" s="383"/>
    </row>
    <row r="742" spans="15:40" ht="15" customHeight="1" x14ac:dyDescent="0.2">
      <c r="O742" s="339" t="s">
        <v>1564</v>
      </c>
      <c r="P742" s="323" t="s">
        <v>219</v>
      </c>
      <c r="AJ742" s="46"/>
      <c r="AK742" s="47"/>
      <c r="AL742" s="383"/>
      <c r="AM742" s="383"/>
      <c r="AN742" s="383"/>
    </row>
    <row r="743" spans="15:40" ht="15" customHeight="1" x14ac:dyDescent="0.2">
      <c r="O743" s="339" t="s">
        <v>1565</v>
      </c>
      <c r="P743" s="323" t="s">
        <v>219</v>
      </c>
      <c r="AJ743" s="46"/>
      <c r="AK743" s="47"/>
      <c r="AL743" s="383"/>
      <c r="AM743" s="383"/>
      <c r="AN743" s="383"/>
    </row>
    <row r="744" spans="15:40" ht="15" customHeight="1" x14ac:dyDescent="0.2">
      <c r="O744" s="339" t="s">
        <v>1566</v>
      </c>
      <c r="P744" s="323" t="s">
        <v>219</v>
      </c>
      <c r="AJ744" s="46"/>
      <c r="AK744" s="47"/>
      <c r="AL744" s="383"/>
      <c r="AM744" s="383"/>
      <c r="AN744" s="383"/>
    </row>
    <row r="745" spans="15:40" ht="15" customHeight="1" x14ac:dyDescent="0.2">
      <c r="O745" s="339" t="s">
        <v>1567</v>
      </c>
      <c r="P745" s="323" t="s">
        <v>219</v>
      </c>
      <c r="Q745" s="353"/>
      <c r="AJ745" s="46"/>
      <c r="AK745" s="47"/>
      <c r="AL745" s="383"/>
      <c r="AM745" s="383"/>
      <c r="AN745" s="383"/>
    </row>
    <row r="746" spans="15:40" ht="15" customHeight="1" x14ac:dyDescent="0.2">
      <c r="O746" s="339" t="s">
        <v>1568</v>
      </c>
      <c r="P746" s="323" t="s">
        <v>219</v>
      </c>
      <c r="Q746" s="353"/>
      <c r="AJ746" s="46"/>
      <c r="AK746" s="47"/>
      <c r="AL746" s="383"/>
      <c r="AM746" s="383"/>
      <c r="AN746" s="383"/>
    </row>
    <row r="747" spans="15:40" ht="15" customHeight="1" x14ac:dyDescent="0.2">
      <c r="O747" s="339" t="s">
        <v>1569</v>
      </c>
      <c r="P747" s="323" t="s">
        <v>219</v>
      </c>
      <c r="Q747" s="353"/>
      <c r="AJ747" s="46"/>
      <c r="AK747" s="47"/>
      <c r="AL747" s="383"/>
      <c r="AM747" s="383"/>
      <c r="AN747" s="383"/>
    </row>
    <row r="748" spans="15:40" ht="15" customHeight="1" x14ac:dyDescent="0.2">
      <c r="O748" s="339" t="s">
        <v>1570</v>
      </c>
      <c r="P748" s="323" t="s">
        <v>219</v>
      </c>
      <c r="AJ748" s="46"/>
      <c r="AK748" s="47"/>
      <c r="AL748" s="383"/>
      <c r="AM748" s="383"/>
      <c r="AN748" s="383"/>
    </row>
    <row r="749" spans="15:40" ht="15" customHeight="1" x14ac:dyDescent="0.2">
      <c r="O749" s="339" t="s">
        <v>1571</v>
      </c>
      <c r="P749" s="323" t="s">
        <v>219</v>
      </c>
      <c r="AJ749" s="46"/>
      <c r="AK749" s="47"/>
      <c r="AL749" s="383"/>
      <c r="AM749" s="383"/>
      <c r="AN749" s="383"/>
    </row>
    <row r="750" spans="15:40" ht="15" customHeight="1" x14ac:dyDescent="0.2">
      <c r="O750" s="339" t="s">
        <v>1572</v>
      </c>
      <c r="P750" s="323" t="s">
        <v>219</v>
      </c>
      <c r="AJ750" s="46"/>
      <c r="AK750" s="47"/>
      <c r="AL750" s="383"/>
      <c r="AM750" s="383"/>
      <c r="AN750" s="383"/>
    </row>
    <row r="751" spans="15:40" ht="15" customHeight="1" x14ac:dyDescent="0.2">
      <c r="O751" s="339" t="s">
        <v>1573</v>
      </c>
      <c r="P751" s="323" t="s">
        <v>219</v>
      </c>
      <c r="AJ751" s="46"/>
      <c r="AK751" s="47"/>
      <c r="AL751" s="383"/>
      <c r="AM751" s="383"/>
      <c r="AN751" s="383"/>
    </row>
    <row r="752" spans="15:40" ht="15" customHeight="1" x14ac:dyDescent="0.2">
      <c r="O752" s="339" t="s">
        <v>1574</v>
      </c>
      <c r="P752" s="323" t="s">
        <v>219</v>
      </c>
      <c r="AJ752" s="46"/>
      <c r="AK752" s="47"/>
      <c r="AL752" s="383"/>
      <c r="AM752" s="383"/>
      <c r="AN752" s="383"/>
    </row>
    <row r="753" spans="15:40" ht="15" customHeight="1" x14ac:dyDescent="0.2">
      <c r="O753" s="339" t="s">
        <v>1575</v>
      </c>
      <c r="P753" s="323" t="s">
        <v>219</v>
      </c>
      <c r="AJ753" s="46"/>
      <c r="AK753" s="47"/>
      <c r="AL753" s="383"/>
      <c r="AM753" s="383"/>
      <c r="AN753" s="383"/>
    </row>
    <row r="754" spans="15:40" ht="15" customHeight="1" x14ac:dyDescent="0.2">
      <c r="O754" s="339" t="s">
        <v>1576</v>
      </c>
      <c r="P754" s="323" t="s">
        <v>219</v>
      </c>
      <c r="AJ754" s="46"/>
      <c r="AK754" s="47"/>
      <c r="AL754" s="383"/>
      <c r="AM754" s="383"/>
      <c r="AN754" s="383"/>
    </row>
    <row r="755" spans="15:40" ht="15" customHeight="1" x14ac:dyDescent="0.2">
      <c r="O755" s="350" t="s">
        <v>1577</v>
      </c>
      <c r="P755" s="323" t="s">
        <v>219</v>
      </c>
      <c r="AJ755" s="46"/>
      <c r="AK755" s="47"/>
      <c r="AL755" s="383"/>
      <c r="AM755" s="383"/>
      <c r="AN755" s="383"/>
    </row>
    <row r="756" spans="15:40" ht="15" customHeight="1" x14ac:dyDescent="0.2">
      <c r="O756" s="350" t="s">
        <v>1578</v>
      </c>
      <c r="P756" s="323" t="s">
        <v>219</v>
      </c>
      <c r="AJ756" s="46"/>
      <c r="AK756" s="47"/>
      <c r="AL756" s="383"/>
      <c r="AM756" s="383"/>
      <c r="AN756" s="383"/>
    </row>
    <row r="757" spans="15:40" ht="15" customHeight="1" thickBot="1" x14ac:dyDescent="0.25">
      <c r="O757" s="349" t="s">
        <v>1579</v>
      </c>
      <c r="P757" s="323" t="s">
        <v>219</v>
      </c>
      <c r="AJ757" s="46"/>
      <c r="AK757" s="47"/>
      <c r="AL757" s="383"/>
      <c r="AM757" s="383"/>
      <c r="AN757" s="383"/>
    </row>
    <row r="758" spans="15:40" ht="15" customHeight="1" thickBot="1" x14ac:dyDescent="0.25">
      <c r="O758" s="336" t="s">
        <v>1580</v>
      </c>
      <c r="P758" s="323"/>
      <c r="AJ758" s="46"/>
      <c r="AK758" s="47"/>
      <c r="AL758" s="383"/>
      <c r="AM758" s="383"/>
      <c r="AN758" s="383"/>
    </row>
    <row r="759" spans="15:40" ht="15" customHeight="1" x14ac:dyDescent="0.2">
      <c r="O759" s="337" t="s">
        <v>1581</v>
      </c>
      <c r="P759" s="326" t="s">
        <v>216</v>
      </c>
      <c r="AJ759" s="46"/>
      <c r="AK759" s="47"/>
      <c r="AL759" s="383"/>
      <c r="AM759" s="383"/>
      <c r="AN759" s="383"/>
    </row>
    <row r="760" spans="15:40" ht="15" customHeight="1" x14ac:dyDescent="0.2">
      <c r="O760" s="339" t="s">
        <v>1582</v>
      </c>
      <c r="P760" s="323" t="s">
        <v>219</v>
      </c>
      <c r="AJ760" s="46"/>
      <c r="AK760" s="47"/>
      <c r="AL760" s="383"/>
      <c r="AM760" s="383"/>
      <c r="AN760" s="383"/>
    </row>
    <row r="761" spans="15:40" ht="15" customHeight="1" x14ac:dyDescent="0.2">
      <c r="O761" s="339" t="s">
        <v>1583</v>
      </c>
      <c r="P761" s="323" t="s">
        <v>219</v>
      </c>
      <c r="AJ761" s="46"/>
      <c r="AK761" s="47"/>
      <c r="AL761" s="383"/>
      <c r="AM761" s="383"/>
      <c r="AN761" s="383"/>
    </row>
    <row r="762" spans="15:40" ht="15" customHeight="1" x14ac:dyDescent="0.2">
      <c r="O762" s="339" t="s">
        <v>1584</v>
      </c>
      <c r="P762" s="323" t="s">
        <v>219</v>
      </c>
      <c r="AJ762" s="46"/>
      <c r="AK762" s="47"/>
      <c r="AL762" s="383"/>
      <c r="AM762" s="383"/>
      <c r="AN762" s="383"/>
    </row>
    <row r="763" spans="15:40" ht="15" customHeight="1" x14ac:dyDescent="0.2">
      <c r="O763" s="339" t="s">
        <v>1585</v>
      </c>
      <c r="P763" s="323" t="s">
        <v>219</v>
      </c>
      <c r="AJ763" s="46"/>
      <c r="AK763" s="47"/>
      <c r="AL763" s="383"/>
      <c r="AM763" s="383"/>
      <c r="AN763" s="383"/>
    </row>
    <row r="764" spans="15:40" ht="15" customHeight="1" x14ac:dyDescent="0.2">
      <c r="O764" s="339" t="s">
        <v>1586</v>
      </c>
      <c r="P764" s="323" t="s">
        <v>219</v>
      </c>
      <c r="AJ764" s="46"/>
      <c r="AK764" s="47"/>
      <c r="AL764" s="383"/>
      <c r="AM764" s="383"/>
      <c r="AN764" s="383"/>
    </row>
    <row r="765" spans="15:40" ht="15" customHeight="1" x14ac:dyDescent="0.2">
      <c r="O765" s="339" t="s">
        <v>1587</v>
      </c>
      <c r="P765" s="323" t="s">
        <v>219</v>
      </c>
      <c r="AJ765" s="46"/>
      <c r="AK765" s="47"/>
      <c r="AL765" s="383"/>
      <c r="AM765" s="383"/>
      <c r="AN765" s="383"/>
    </row>
    <row r="766" spans="15:40" ht="15" customHeight="1" x14ac:dyDescent="0.2">
      <c r="O766" s="339" t="s">
        <v>1588</v>
      </c>
      <c r="P766" s="323" t="s">
        <v>219</v>
      </c>
      <c r="AJ766" s="46"/>
      <c r="AK766" s="47"/>
      <c r="AL766" s="383"/>
      <c r="AM766" s="383"/>
      <c r="AN766" s="383"/>
    </row>
    <row r="767" spans="15:40" ht="15" customHeight="1" x14ac:dyDescent="0.2">
      <c r="O767" s="339" t="s">
        <v>1589</v>
      </c>
      <c r="P767" s="323" t="s">
        <v>219</v>
      </c>
      <c r="AJ767" s="46"/>
      <c r="AK767" s="47"/>
      <c r="AL767" s="383"/>
      <c r="AM767" s="383"/>
      <c r="AN767" s="383"/>
    </row>
    <row r="768" spans="15:40" ht="15" customHeight="1" x14ac:dyDescent="0.2">
      <c r="O768" s="339" t="s">
        <v>1590</v>
      </c>
      <c r="P768" s="323" t="s">
        <v>219</v>
      </c>
      <c r="AJ768" s="46"/>
      <c r="AK768" s="47"/>
      <c r="AL768" s="383"/>
      <c r="AM768" s="383"/>
      <c r="AN768" s="383"/>
    </row>
    <row r="769" spans="15:40" ht="15" customHeight="1" x14ac:dyDescent="0.2">
      <c r="O769" s="339" t="s">
        <v>1591</v>
      </c>
      <c r="P769" s="323" t="s">
        <v>219</v>
      </c>
      <c r="Q769" s="333"/>
      <c r="AJ769" s="46"/>
      <c r="AK769" s="47"/>
      <c r="AL769" s="383"/>
      <c r="AM769" s="383"/>
      <c r="AN769" s="383"/>
    </row>
    <row r="770" spans="15:40" ht="15" customHeight="1" x14ac:dyDescent="0.2">
      <c r="O770" s="339" t="s">
        <v>1592</v>
      </c>
      <c r="P770" s="323" t="s">
        <v>219</v>
      </c>
      <c r="Q770" s="353"/>
      <c r="AJ770" s="46"/>
      <c r="AK770" s="47"/>
      <c r="AL770" s="383"/>
      <c r="AM770" s="383"/>
      <c r="AN770" s="383"/>
    </row>
    <row r="771" spans="15:40" ht="15" customHeight="1" x14ac:dyDescent="0.2">
      <c r="O771" s="339" t="s">
        <v>1593</v>
      </c>
      <c r="P771" s="323" t="s">
        <v>219</v>
      </c>
      <c r="AJ771" s="46"/>
      <c r="AK771" s="47"/>
      <c r="AL771" s="383"/>
      <c r="AM771" s="383"/>
      <c r="AN771" s="383"/>
    </row>
    <row r="772" spans="15:40" ht="15" customHeight="1" x14ac:dyDescent="0.2">
      <c r="O772" s="339" t="s">
        <v>1594</v>
      </c>
      <c r="P772" s="323" t="s">
        <v>219</v>
      </c>
      <c r="AJ772" s="46"/>
      <c r="AK772" s="47"/>
      <c r="AL772" s="383"/>
      <c r="AM772" s="383"/>
      <c r="AN772" s="383"/>
    </row>
    <row r="773" spans="15:40" ht="15" customHeight="1" x14ac:dyDescent="0.2">
      <c r="O773" s="339" t="s">
        <v>1595</v>
      </c>
      <c r="P773" s="323" t="s">
        <v>219</v>
      </c>
      <c r="AJ773" s="46"/>
      <c r="AK773" s="47"/>
      <c r="AL773" s="383"/>
      <c r="AM773" s="383"/>
      <c r="AN773" s="383"/>
    </row>
    <row r="774" spans="15:40" ht="15" customHeight="1" x14ac:dyDescent="0.2">
      <c r="O774" s="339" t="s">
        <v>1596</v>
      </c>
      <c r="P774" s="323" t="s">
        <v>219</v>
      </c>
      <c r="AJ774" s="46"/>
      <c r="AK774" s="47"/>
      <c r="AL774" s="383"/>
      <c r="AM774" s="383"/>
      <c r="AN774" s="383"/>
    </row>
    <row r="775" spans="15:40" ht="15" customHeight="1" x14ac:dyDescent="0.2">
      <c r="O775" s="339" t="s">
        <v>1597</v>
      </c>
      <c r="P775" s="323" t="s">
        <v>219</v>
      </c>
      <c r="AJ775" s="46"/>
      <c r="AK775" s="47"/>
      <c r="AL775" s="383"/>
      <c r="AM775" s="383"/>
      <c r="AN775" s="383"/>
    </row>
    <row r="776" spans="15:40" ht="15" customHeight="1" x14ac:dyDescent="0.2">
      <c r="O776" s="339" t="s">
        <v>1598</v>
      </c>
      <c r="P776" s="323" t="s">
        <v>219</v>
      </c>
      <c r="AJ776" s="46"/>
      <c r="AK776" s="47"/>
      <c r="AL776" s="383"/>
      <c r="AM776" s="383"/>
      <c r="AN776" s="383"/>
    </row>
    <row r="777" spans="15:40" ht="15" customHeight="1" x14ac:dyDescent="0.2">
      <c r="O777" s="339" t="s">
        <v>1599</v>
      </c>
      <c r="P777" s="323" t="s">
        <v>219</v>
      </c>
      <c r="AJ777" s="46"/>
      <c r="AK777" s="47"/>
      <c r="AL777" s="383"/>
      <c r="AM777" s="383"/>
      <c r="AN777" s="383"/>
    </row>
    <row r="778" spans="15:40" ht="15" customHeight="1" x14ac:dyDescent="0.2">
      <c r="O778" s="339" t="s">
        <v>1600</v>
      </c>
      <c r="P778" s="323" t="s">
        <v>219</v>
      </c>
      <c r="AJ778" s="46"/>
      <c r="AK778" s="47"/>
      <c r="AL778" s="383"/>
      <c r="AM778" s="383"/>
      <c r="AN778" s="383"/>
    </row>
    <row r="779" spans="15:40" ht="15" customHeight="1" x14ac:dyDescent="0.2">
      <c r="O779" s="339" t="s">
        <v>1601</v>
      </c>
      <c r="P779" s="354" t="s">
        <v>219</v>
      </c>
      <c r="AJ779" s="46"/>
      <c r="AK779" s="47"/>
      <c r="AL779" s="383"/>
      <c r="AM779" s="383"/>
      <c r="AN779" s="383"/>
    </row>
    <row r="780" spans="15:40" ht="15" customHeight="1" thickBot="1" x14ac:dyDescent="0.25">
      <c r="O780" s="355" t="s">
        <v>1602</v>
      </c>
      <c r="P780" s="323" t="s">
        <v>219</v>
      </c>
      <c r="AJ780" s="46"/>
      <c r="AK780" s="47"/>
      <c r="AL780" s="383"/>
      <c r="AM780" s="383"/>
      <c r="AN780" s="383"/>
    </row>
    <row r="781" spans="15:40" ht="15" customHeight="1" thickBot="1" x14ac:dyDescent="0.25">
      <c r="O781" s="336" t="s">
        <v>1603</v>
      </c>
      <c r="P781" s="323"/>
      <c r="AJ781" s="46"/>
      <c r="AK781" s="47"/>
      <c r="AL781" s="383"/>
      <c r="AM781" s="383"/>
      <c r="AN781" s="383"/>
    </row>
    <row r="782" spans="15:40" ht="15" customHeight="1" x14ac:dyDescent="0.2">
      <c r="O782" s="337" t="s">
        <v>1604</v>
      </c>
      <c r="P782" s="326" t="s">
        <v>216</v>
      </c>
      <c r="AJ782" s="46"/>
      <c r="AK782" s="47"/>
      <c r="AL782" s="383"/>
      <c r="AM782" s="383"/>
      <c r="AN782" s="383"/>
    </row>
    <row r="783" spans="15:40" ht="15" customHeight="1" x14ac:dyDescent="0.2">
      <c r="O783" s="338" t="s">
        <v>1605</v>
      </c>
      <c r="P783" s="326" t="s">
        <v>216</v>
      </c>
      <c r="AJ783" s="46"/>
      <c r="AK783" s="47"/>
      <c r="AL783" s="383"/>
      <c r="AM783" s="383"/>
      <c r="AN783" s="383"/>
    </row>
    <row r="784" spans="15:40" ht="15" customHeight="1" x14ac:dyDescent="0.2">
      <c r="O784" s="339" t="s">
        <v>1606</v>
      </c>
      <c r="P784" s="323" t="s">
        <v>219</v>
      </c>
      <c r="AJ784" s="46"/>
      <c r="AK784" s="47"/>
      <c r="AL784" s="383"/>
      <c r="AM784" s="383"/>
      <c r="AN784" s="383"/>
    </row>
    <row r="785" spans="15:40" ht="15" customHeight="1" x14ac:dyDescent="0.2">
      <c r="O785" s="339" t="s">
        <v>1607</v>
      </c>
      <c r="P785" s="323" t="s">
        <v>219</v>
      </c>
      <c r="AJ785" s="46"/>
      <c r="AK785" s="47"/>
      <c r="AL785" s="383"/>
      <c r="AM785" s="383"/>
      <c r="AN785" s="383"/>
    </row>
    <row r="786" spans="15:40" ht="15" customHeight="1" x14ac:dyDescent="0.2">
      <c r="O786" s="339" t="s">
        <v>1608</v>
      </c>
      <c r="P786" s="323" t="s">
        <v>219</v>
      </c>
      <c r="AJ786" s="46"/>
      <c r="AK786" s="47"/>
      <c r="AL786" s="383"/>
      <c r="AM786" s="383"/>
      <c r="AN786" s="383"/>
    </row>
    <row r="787" spans="15:40" ht="15" customHeight="1" x14ac:dyDescent="0.2">
      <c r="O787" s="339" t="s">
        <v>1609</v>
      </c>
      <c r="P787" s="323" t="s">
        <v>219</v>
      </c>
      <c r="AJ787" s="46"/>
      <c r="AK787" s="47"/>
      <c r="AL787" s="383"/>
      <c r="AM787" s="383"/>
      <c r="AN787" s="383"/>
    </row>
    <row r="788" spans="15:40" ht="15" customHeight="1" x14ac:dyDescent="0.2">
      <c r="O788" s="339" t="s">
        <v>1610</v>
      </c>
      <c r="P788" s="323" t="s">
        <v>219</v>
      </c>
      <c r="AJ788" s="46"/>
      <c r="AK788" s="47"/>
      <c r="AL788" s="383"/>
      <c r="AM788" s="383"/>
      <c r="AN788" s="383"/>
    </row>
    <row r="789" spans="15:40" ht="15" customHeight="1" x14ac:dyDescent="0.2">
      <c r="O789" s="339" t="s">
        <v>1611</v>
      </c>
      <c r="P789" s="323" t="s">
        <v>219</v>
      </c>
      <c r="AJ789" s="46"/>
      <c r="AK789" s="47"/>
      <c r="AL789" s="383"/>
      <c r="AM789" s="383"/>
      <c r="AN789" s="383"/>
    </row>
    <row r="790" spans="15:40" ht="15" customHeight="1" x14ac:dyDescent="0.2">
      <c r="O790" s="339" t="s">
        <v>1612</v>
      </c>
      <c r="P790" s="323" t="s">
        <v>219</v>
      </c>
      <c r="AJ790" s="46"/>
      <c r="AK790" s="47"/>
      <c r="AL790" s="383"/>
      <c r="AM790" s="383"/>
      <c r="AN790" s="383"/>
    </row>
    <row r="791" spans="15:40" ht="15" customHeight="1" x14ac:dyDescent="0.2">
      <c r="O791" s="339" t="s">
        <v>1613</v>
      </c>
      <c r="P791" s="323" t="s">
        <v>219</v>
      </c>
      <c r="AJ791" s="46"/>
      <c r="AK791" s="47"/>
      <c r="AL791" s="383"/>
      <c r="AM791" s="383"/>
      <c r="AN791" s="383"/>
    </row>
    <row r="792" spans="15:40" ht="15" customHeight="1" x14ac:dyDescent="0.2">
      <c r="O792" s="339" t="s">
        <v>1614</v>
      </c>
      <c r="P792" s="323" t="s">
        <v>219</v>
      </c>
      <c r="AJ792" s="46"/>
      <c r="AK792" s="47"/>
      <c r="AL792" s="383"/>
      <c r="AM792" s="383"/>
      <c r="AN792" s="383"/>
    </row>
    <row r="793" spans="15:40" ht="15" customHeight="1" x14ac:dyDescent="0.2">
      <c r="O793" s="339" t="s">
        <v>1615</v>
      </c>
      <c r="P793" s="323" t="s">
        <v>219</v>
      </c>
      <c r="AJ793" s="46"/>
      <c r="AK793" s="47"/>
      <c r="AL793" s="383"/>
      <c r="AM793" s="383"/>
      <c r="AN793" s="383"/>
    </row>
    <row r="794" spans="15:40" ht="15" customHeight="1" x14ac:dyDescent="0.2">
      <c r="O794" s="339" t="s">
        <v>1616</v>
      </c>
      <c r="P794" s="323" t="s">
        <v>219</v>
      </c>
      <c r="AJ794" s="46"/>
      <c r="AK794" s="47"/>
      <c r="AL794" s="383"/>
      <c r="AM794" s="383"/>
      <c r="AN794" s="383"/>
    </row>
    <row r="795" spans="15:40" ht="15" customHeight="1" x14ac:dyDescent="0.2">
      <c r="O795" s="339" t="s">
        <v>1617</v>
      </c>
      <c r="P795" s="323" t="s">
        <v>219</v>
      </c>
      <c r="AJ795" s="46"/>
      <c r="AK795" s="47"/>
      <c r="AL795" s="383"/>
      <c r="AM795" s="383"/>
      <c r="AN795" s="383"/>
    </row>
    <row r="796" spans="15:40" ht="15" customHeight="1" x14ac:dyDescent="0.2">
      <c r="O796" s="339" t="s">
        <v>1618</v>
      </c>
      <c r="P796" s="323" t="s">
        <v>219</v>
      </c>
      <c r="AJ796" s="46"/>
      <c r="AK796" s="47"/>
      <c r="AL796" s="383"/>
      <c r="AM796" s="383"/>
      <c r="AN796" s="383"/>
    </row>
    <row r="797" spans="15:40" ht="15" customHeight="1" x14ac:dyDescent="0.2">
      <c r="O797" s="339" t="s">
        <v>1619</v>
      </c>
      <c r="P797" s="323" t="s">
        <v>219</v>
      </c>
      <c r="AJ797" s="46"/>
      <c r="AK797" s="47"/>
      <c r="AL797" s="383"/>
      <c r="AM797" s="383"/>
      <c r="AN797" s="383"/>
    </row>
    <row r="798" spans="15:40" ht="15" customHeight="1" x14ac:dyDescent="0.2">
      <c r="O798" s="339" t="s">
        <v>1620</v>
      </c>
      <c r="P798" s="323" t="s">
        <v>219</v>
      </c>
      <c r="AJ798" s="46"/>
      <c r="AK798" s="47"/>
      <c r="AL798" s="383"/>
      <c r="AM798" s="383"/>
      <c r="AN798" s="383"/>
    </row>
    <row r="799" spans="15:40" ht="15" customHeight="1" x14ac:dyDescent="0.2">
      <c r="O799" s="339" t="s">
        <v>1621</v>
      </c>
      <c r="P799" s="323" t="s">
        <v>219</v>
      </c>
      <c r="AJ799" s="46"/>
      <c r="AK799" s="47"/>
      <c r="AL799" s="383"/>
      <c r="AM799" s="383"/>
      <c r="AN799" s="383"/>
    </row>
    <row r="800" spans="15:40" ht="15" customHeight="1" thickBot="1" x14ac:dyDescent="0.25">
      <c r="O800" s="340" t="s">
        <v>1622</v>
      </c>
      <c r="P800" s="323" t="s">
        <v>219</v>
      </c>
      <c r="AJ800" s="46"/>
      <c r="AK800" s="47"/>
      <c r="AL800" s="383"/>
      <c r="AM800" s="383"/>
      <c r="AN800" s="383"/>
    </row>
    <row r="801" spans="15:40" ht="15" customHeight="1" thickBot="1" x14ac:dyDescent="0.25">
      <c r="O801" s="341" t="s">
        <v>1623</v>
      </c>
      <c r="P801" s="323"/>
      <c r="AJ801" s="46"/>
      <c r="AK801" s="47"/>
      <c r="AL801" s="383"/>
      <c r="AM801" s="383"/>
      <c r="AN801" s="383"/>
    </row>
    <row r="802" spans="15:40" ht="15" customHeight="1" x14ac:dyDescent="0.2">
      <c r="O802" s="337" t="s">
        <v>1624</v>
      </c>
      <c r="P802" s="326" t="s">
        <v>216</v>
      </c>
      <c r="AJ802" s="46"/>
      <c r="AK802" s="47"/>
      <c r="AL802" s="383"/>
      <c r="AM802" s="383"/>
      <c r="AN802" s="383"/>
    </row>
    <row r="803" spans="15:40" ht="15" customHeight="1" x14ac:dyDescent="0.2">
      <c r="O803" s="339" t="s">
        <v>1625</v>
      </c>
      <c r="P803" s="323" t="s">
        <v>219</v>
      </c>
      <c r="AJ803" s="46"/>
      <c r="AK803" s="47"/>
      <c r="AL803" s="383"/>
      <c r="AM803" s="383"/>
      <c r="AN803" s="383"/>
    </row>
    <row r="804" spans="15:40" ht="15" customHeight="1" x14ac:dyDescent="0.2">
      <c r="O804" s="339" t="s">
        <v>1626</v>
      </c>
      <c r="P804" s="323" t="s">
        <v>219</v>
      </c>
      <c r="AJ804" s="46"/>
      <c r="AK804" s="47"/>
      <c r="AL804" s="383"/>
      <c r="AM804" s="383"/>
      <c r="AN804" s="383"/>
    </row>
    <row r="805" spans="15:40" ht="15" customHeight="1" x14ac:dyDescent="0.2">
      <c r="O805" s="339" t="s">
        <v>1627</v>
      </c>
      <c r="P805" s="323" t="s">
        <v>219</v>
      </c>
      <c r="AJ805" s="46"/>
      <c r="AK805" s="47"/>
      <c r="AL805" s="383"/>
      <c r="AM805" s="383"/>
      <c r="AN805" s="383"/>
    </row>
    <row r="806" spans="15:40" ht="15" customHeight="1" x14ac:dyDescent="0.2">
      <c r="O806" s="339" t="s">
        <v>1628</v>
      </c>
      <c r="P806" s="323" t="s">
        <v>219</v>
      </c>
      <c r="AJ806" s="46"/>
      <c r="AK806" s="47"/>
      <c r="AL806" s="383"/>
      <c r="AM806" s="383"/>
      <c r="AN806" s="383"/>
    </row>
    <row r="807" spans="15:40" ht="15" customHeight="1" x14ac:dyDescent="0.2">
      <c r="O807" s="339" t="s">
        <v>1629</v>
      </c>
      <c r="P807" s="323" t="s">
        <v>219</v>
      </c>
      <c r="AJ807" s="46"/>
      <c r="AK807" s="47"/>
      <c r="AL807" s="383"/>
      <c r="AM807" s="383"/>
      <c r="AN807" s="383"/>
    </row>
    <row r="808" spans="15:40" ht="15" customHeight="1" x14ac:dyDescent="0.2">
      <c r="O808" s="339" t="s">
        <v>1630</v>
      </c>
      <c r="P808" s="323" t="s">
        <v>219</v>
      </c>
      <c r="AJ808" s="46"/>
      <c r="AK808" s="47"/>
      <c r="AL808" s="383"/>
      <c r="AM808" s="383"/>
      <c r="AN808" s="383"/>
    </row>
    <row r="809" spans="15:40" ht="15" customHeight="1" x14ac:dyDescent="0.2">
      <c r="O809" s="339" t="s">
        <v>1631</v>
      </c>
      <c r="P809" s="323" t="s">
        <v>219</v>
      </c>
      <c r="AJ809" s="46"/>
      <c r="AK809" s="47"/>
      <c r="AL809" s="383"/>
      <c r="AM809" s="383"/>
      <c r="AN809" s="383"/>
    </row>
    <row r="810" spans="15:40" ht="15" customHeight="1" x14ac:dyDescent="0.2">
      <c r="O810" s="339" t="s">
        <v>1632</v>
      </c>
      <c r="P810" s="323" t="s">
        <v>219</v>
      </c>
      <c r="AJ810" s="46"/>
      <c r="AK810" s="47"/>
      <c r="AL810" s="383"/>
      <c r="AM810" s="383"/>
      <c r="AN810" s="383"/>
    </row>
    <row r="811" spans="15:40" ht="15" customHeight="1" x14ac:dyDescent="0.2">
      <c r="O811" s="339" t="s">
        <v>1633</v>
      </c>
      <c r="P811" s="323" t="s">
        <v>219</v>
      </c>
      <c r="AJ811" s="46"/>
      <c r="AK811" s="47"/>
      <c r="AL811" s="383"/>
      <c r="AM811" s="383"/>
      <c r="AN811" s="383"/>
    </row>
    <row r="812" spans="15:40" ht="15" customHeight="1" x14ac:dyDescent="0.2">
      <c r="O812" s="339" t="s">
        <v>1634</v>
      </c>
      <c r="P812" s="323" t="s">
        <v>219</v>
      </c>
      <c r="AJ812" s="46"/>
      <c r="AK812" s="47"/>
      <c r="AL812" s="383"/>
      <c r="AM812" s="383"/>
      <c r="AN812" s="383"/>
    </row>
    <row r="813" spans="15:40" ht="15" customHeight="1" x14ac:dyDescent="0.2">
      <c r="O813" s="339" t="s">
        <v>1635</v>
      </c>
      <c r="P813" s="323" t="s">
        <v>219</v>
      </c>
      <c r="AJ813" s="46"/>
      <c r="AK813" s="47"/>
      <c r="AL813" s="383"/>
      <c r="AM813" s="383"/>
      <c r="AN813" s="383"/>
    </row>
    <row r="814" spans="15:40" ht="15" customHeight="1" x14ac:dyDescent="0.2">
      <c r="O814" s="339" t="s">
        <v>1636</v>
      </c>
      <c r="P814" s="323" t="s">
        <v>219</v>
      </c>
      <c r="AJ814" s="46"/>
      <c r="AK814" s="47"/>
      <c r="AL814" s="383"/>
      <c r="AM814" s="383"/>
      <c r="AN814" s="383"/>
    </row>
    <row r="815" spans="15:40" ht="15" customHeight="1" x14ac:dyDescent="0.2">
      <c r="O815" s="339" t="s">
        <v>1637</v>
      </c>
      <c r="P815" s="323" t="s">
        <v>219</v>
      </c>
      <c r="AJ815" s="46"/>
      <c r="AK815" s="47"/>
      <c r="AL815" s="383"/>
      <c r="AM815" s="383"/>
      <c r="AN815" s="383"/>
    </row>
    <row r="816" spans="15:40" ht="15" customHeight="1" x14ac:dyDescent="0.2">
      <c r="O816" s="339" t="s">
        <v>1638</v>
      </c>
      <c r="P816" s="323" t="s">
        <v>219</v>
      </c>
      <c r="AJ816" s="46"/>
      <c r="AK816" s="47"/>
      <c r="AL816" s="383"/>
      <c r="AM816" s="383"/>
      <c r="AN816" s="383"/>
    </row>
    <row r="817" spans="15:40" ht="15" customHeight="1" x14ac:dyDescent="0.2">
      <c r="O817" s="339" t="s">
        <v>1639</v>
      </c>
      <c r="P817" s="323" t="s">
        <v>219</v>
      </c>
      <c r="AJ817" s="46"/>
      <c r="AK817" s="47"/>
      <c r="AL817" s="383"/>
      <c r="AM817" s="383"/>
      <c r="AN817" s="383"/>
    </row>
    <row r="818" spans="15:40" ht="15" customHeight="1" x14ac:dyDescent="0.2">
      <c r="O818" s="339" t="s">
        <v>1640</v>
      </c>
      <c r="P818" s="323" t="s">
        <v>219</v>
      </c>
      <c r="AJ818" s="46"/>
      <c r="AK818" s="47"/>
      <c r="AL818" s="383"/>
      <c r="AM818" s="383"/>
      <c r="AN818" s="383"/>
    </row>
    <row r="819" spans="15:40" ht="15" customHeight="1" x14ac:dyDescent="0.2">
      <c r="O819" s="339" t="s">
        <v>1641</v>
      </c>
      <c r="P819" s="323" t="s">
        <v>219</v>
      </c>
      <c r="AJ819" s="46"/>
      <c r="AK819" s="47"/>
      <c r="AL819" s="383"/>
      <c r="AM819" s="383"/>
      <c r="AN819" s="383"/>
    </row>
    <row r="820" spans="15:40" ht="15" customHeight="1" x14ac:dyDescent="0.2">
      <c r="O820" s="339" t="s">
        <v>1642</v>
      </c>
      <c r="P820" s="323" t="s">
        <v>219</v>
      </c>
      <c r="AJ820" s="46"/>
      <c r="AK820" s="47"/>
      <c r="AL820" s="383"/>
      <c r="AM820" s="383"/>
      <c r="AN820" s="383"/>
    </row>
    <row r="821" spans="15:40" ht="15" customHeight="1" x14ac:dyDescent="0.2">
      <c r="O821" s="339" t="s">
        <v>1643</v>
      </c>
      <c r="P821" s="323" t="s">
        <v>219</v>
      </c>
      <c r="AJ821" s="46"/>
      <c r="AK821" s="47"/>
      <c r="AL821" s="383"/>
      <c r="AM821" s="383"/>
      <c r="AN821" s="383"/>
    </row>
    <row r="822" spans="15:40" ht="15" customHeight="1" x14ac:dyDescent="0.2">
      <c r="O822" s="339" t="s">
        <v>1644</v>
      </c>
      <c r="P822" s="323" t="s">
        <v>219</v>
      </c>
      <c r="AJ822" s="46"/>
      <c r="AK822" s="47"/>
      <c r="AL822" s="383"/>
      <c r="AM822" s="383"/>
      <c r="AN822" s="383"/>
    </row>
    <row r="823" spans="15:40" ht="15" customHeight="1" x14ac:dyDescent="0.2">
      <c r="O823" s="339" t="s">
        <v>1645</v>
      </c>
      <c r="P823" s="323" t="s">
        <v>219</v>
      </c>
      <c r="AJ823" s="46"/>
      <c r="AK823" s="47"/>
      <c r="AL823" s="383"/>
      <c r="AM823" s="383"/>
      <c r="AN823" s="383"/>
    </row>
    <row r="824" spans="15:40" ht="15" customHeight="1" x14ac:dyDescent="0.2">
      <c r="O824" s="339" t="s">
        <v>1646</v>
      </c>
      <c r="P824" s="323" t="s">
        <v>219</v>
      </c>
      <c r="AJ824" s="46"/>
      <c r="AK824" s="47"/>
      <c r="AL824" s="383"/>
      <c r="AM824" s="383"/>
      <c r="AN824" s="383"/>
    </row>
    <row r="825" spans="15:40" ht="15" customHeight="1" x14ac:dyDescent="0.2">
      <c r="O825" s="359" t="s">
        <v>1647</v>
      </c>
      <c r="P825" s="323" t="s">
        <v>219</v>
      </c>
      <c r="AJ825" s="46"/>
      <c r="AK825" s="47"/>
      <c r="AL825" s="383"/>
      <c r="AM825" s="383"/>
      <c r="AN825" s="383"/>
    </row>
    <row r="826" spans="15:40" ht="15" customHeight="1" x14ac:dyDescent="0.2">
      <c r="O826" s="359" t="s">
        <v>1648</v>
      </c>
      <c r="P826" s="323" t="s">
        <v>219</v>
      </c>
      <c r="Q826" s="353"/>
      <c r="AJ826" s="46"/>
      <c r="AK826" s="47"/>
      <c r="AL826" s="383"/>
      <c r="AM826" s="383"/>
      <c r="AN826" s="383"/>
    </row>
    <row r="827" spans="15:40" ht="15" customHeight="1" x14ac:dyDescent="0.2">
      <c r="O827" s="359" t="s">
        <v>1649</v>
      </c>
      <c r="P827" s="323" t="s">
        <v>219</v>
      </c>
      <c r="Q827" s="353"/>
      <c r="AJ827" s="46"/>
      <c r="AK827" s="47"/>
      <c r="AL827" s="383"/>
      <c r="AM827" s="383"/>
      <c r="AN827" s="383"/>
    </row>
    <row r="828" spans="15:40" ht="15" customHeight="1" x14ac:dyDescent="0.2">
      <c r="O828" s="359" t="s">
        <v>1650</v>
      </c>
      <c r="P828" s="323" t="s">
        <v>219</v>
      </c>
      <c r="Q828" s="353"/>
      <c r="AJ828" s="46"/>
      <c r="AK828" s="47"/>
      <c r="AL828" s="383"/>
      <c r="AM828" s="383"/>
      <c r="AN828" s="383"/>
    </row>
    <row r="829" spans="15:40" ht="15" customHeight="1" x14ac:dyDescent="0.2">
      <c r="O829" s="359" t="s">
        <v>1651</v>
      </c>
      <c r="P829" s="323" t="s">
        <v>219</v>
      </c>
      <c r="Q829" s="353"/>
      <c r="AJ829" s="46"/>
      <c r="AK829" s="47"/>
      <c r="AL829" s="383"/>
      <c r="AM829" s="383"/>
      <c r="AN829" s="383"/>
    </row>
    <row r="830" spans="15:40" ht="15" customHeight="1" x14ac:dyDescent="0.2">
      <c r="O830" s="359" t="s">
        <v>1652</v>
      </c>
      <c r="P830" s="323" t="s">
        <v>219</v>
      </c>
      <c r="Q830" s="353"/>
      <c r="AJ830" s="46"/>
      <c r="AK830" s="47"/>
      <c r="AL830" s="383"/>
      <c r="AM830" s="383"/>
      <c r="AN830" s="383"/>
    </row>
    <row r="831" spans="15:40" ht="15" customHeight="1" thickBot="1" x14ac:dyDescent="0.25">
      <c r="O831" s="340" t="s">
        <v>1653</v>
      </c>
      <c r="P831" s="323" t="s">
        <v>219</v>
      </c>
      <c r="Q831" s="353"/>
      <c r="AJ831" s="46"/>
      <c r="AK831" s="47"/>
      <c r="AL831" s="383"/>
      <c r="AM831" s="383"/>
      <c r="AN831" s="383"/>
    </row>
    <row r="832" spans="15:40" ht="15" customHeight="1" thickBot="1" x14ac:dyDescent="0.25">
      <c r="O832" s="341" t="s">
        <v>1654</v>
      </c>
      <c r="P832" s="323"/>
      <c r="Q832" s="333"/>
      <c r="AJ832" s="46"/>
      <c r="AK832" s="47"/>
      <c r="AL832" s="383"/>
      <c r="AM832" s="383"/>
      <c r="AN832" s="383"/>
    </row>
    <row r="833" spans="15:40" ht="15" customHeight="1" x14ac:dyDescent="0.2">
      <c r="O833" s="337" t="s">
        <v>1451</v>
      </c>
      <c r="P833" s="326" t="s">
        <v>216</v>
      </c>
      <c r="Q833" s="333"/>
      <c r="AJ833" s="46"/>
      <c r="AK833" s="47"/>
      <c r="AL833" s="383"/>
      <c r="AM833" s="383"/>
      <c r="AN833" s="383"/>
    </row>
    <row r="834" spans="15:40" ht="15" customHeight="1" x14ac:dyDescent="0.2">
      <c r="O834" s="338" t="s">
        <v>1655</v>
      </c>
      <c r="P834" s="326" t="s">
        <v>216</v>
      </c>
      <c r="Q834" s="333"/>
      <c r="AJ834" s="46"/>
      <c r="AK834" s="47"/>
      <c r="AL834" s="383"/>
      <c r="AM834" s="383"/>
      <c r="AN834" s="383"/>
    </row>
    <row r="835" spans="15:40" ht="15" customHeight="1" x14ac:dyDescent="0.2">
      <c r="O835" s="338" t="s">
        <v>1656</v>
      </c>
      <c r="P835" s="326" t="s">
        <v>216</v>
      </c>
      <c r="AJ835" s="46"/>
      <c r="AK835" s="47"/>
      <c r="AL835" s="383"/>
      <c r="AM835" s="383"/>
      <c r="AN835" s="383"/>
    </row>
    <row r="836" spans="15:40" ht="15" customHeight="1" x14ac:dyDescent="0.2">
      <c r="O836" s="338" t="s">
        <v>1657</v>
      </c>
      <c r="P836" s="326" t="s">
        <v>216</v>
      </c>
      <c r="AJ836" s="46"/>
      <c r="AK836" s="47"/>
      <c r="AL836" s="383"/>
      <c r="AM836" s="383"/>
      <c r="AN836" s="383"/>
    </row>
    <row r="837" spans="15:40" ht="15" customHeight="1" x14ac:dyDescent="0.2">
      <c r="O837" s="339" t="s">
        <v>1658</v>
      </c>
      <c r="P837" s="323" t="s">
        <v>219</v>
      </c>
      <c r="AJ837" s="46"/>
      <c r="AK837" s="47"/>
      <c r="AL837" s="383"/>
      <c r="AM837" s="383"/>
      <c r="AN837" s="383"/>
    </row>
    <row r="838" spans="15:40" ht="15" customHeight="1" x14ac:dyDescent="0.2">
      <c r="O838" s="339" t="s">
        <v>1659</v>
      </c>
      <c r="P838" s="323" t="s">
        <v>219</v>
      </c>
      <c r="AJ838" s="46"/>
      <c r="AK838" s="47"/>
      <c r="AL838" s="383"/>
      <c r="AM838" s="383"/>
      <c r="AN838" s="383"/>
    </row>
    <row r="839" spans="15:40" ht="15" customHeight="1" x14ac:dyDescent="0.2">
      <c r="O839" s="339" t="s">
        <v>1660</v>
      </c>
      <c r="P839" s="323" t="s">
        <v>219</v>
      </c>
      <c r="AJ839" s="46"/>
      <c r="AK839" s="47"/>
      <c r="AL839" s="383"/>
      <c r="AM839" s="383"/>
      <c r="AN839" s="383"/>
    </row>
    <row r="840" spans="15:40" ht="15" customHeight="1" x14ac:dyDescent="0.2">
      <c r="O840" s="339" t="s">
        <v>1661</v>
      </c>
      <c r="P840" s="323" t="s">
        <v>219</v>
      </c>
      <c r="AJ840" s="46"/>
      <c r="AK840" s="47"/>
      <c r="AL840" s="383"/>
      <c r="AM840" s="383"/>
      <c r="AN840" s="383"/>
    </row>
    <row r="841" spans="15:40" ht="15" customHeight="1" x14ac:dyDescent="0.2">
      <c r="O841" s="339" t="s">
        <v>1662</v>
      </c>
      <c r="P841" s="323" t="s">
        <v>219</v>
      </c>
      <c r="AJ841" s="46"/>
      <c r="AK841" s="47"/>
      <c r="AL841" s="383"/>
      <c r="AM841" s="383"/>
      <c r="AN841" s="383"/>
    </row>
    <row r="842" spans="15:40" ht="15" customHeight="1" x14ac:dyDescent="0.2">
      <c r="O842" s="339" t="s">
        <v>1663</v>
      </c>
      <c r="P842" s="323" t="s">
        <v>219</v>
      </c>
      <c r="AJ842" s="46"/>
      <c r="AK842" s="47"/>
      <c r="AL842" s="383"/>
      <c r="AM842" s="383"/>
      <c r="AN842" s="383"/>
    </row>
    <row r="843" spans="15:40" ht="15" customHeight="1" x14ac:dyDescent="0.2">
      <c r="O843" s="339" t="s">
        <v>1664</v>
      </c>
      <c r="P843" s="323" t="s">
        <v>219</v>
      </c>
      <c r="AJ843" s="46"/>
      <c r="AK843" s="47"/>
      <c r="AL843" s="383"/>
      <c r="AM843" s="383"/>
      <c r="AN843" s="383"/>
    </row>
    <row r="844" spans="15:40" ht="15" customHeight="1" x14ac:dyDescent="0.2">
      <c r="O844" s="339" t="s">
        <v>1665</v>
      </c>
      <c r="P844" s="323" t="s">
        <v>219</v>
      </c>
      <c r="AJ844" s="46"/>
      <c r="AK844" s="47"/>
      <c r="AL844" s="383"/>
      <c r="AM844" s="383"/>
      <c r="AN844" s="383"/>
    </row>
    <row r="845" spans="15:40" ht="15" customHeight="1" x14ac:dyDescent="0.2">
      <c r="O845" s="339" t="s">
        <v>1666</v>
      </c>
      <c r="P845" s="323" t="s">
        <v>219</v>
      </c>
      <c r="AJ845" s="46"/>
      <c r="AK845" s="47"/>
      <c r="AL845" s="383"/>
      <c r="AM845" s="383"/>
      <c r="AN845" s="383"/>
    </row>
    <row r="846" spans="15:40" ht="15" customHeight="1" x14ac:dyDescent="0.2">
      <c r="O846" s="339" t="s">
        <v>1667</v>
      </c>
      <c r="P846" s="323" t="s">
        <v>219</v>
      </c>
      <c r="AJ846" s="46"/>
      <c r="AK846" s="47"/>
      <c r="AL846" s="383"/>
      <c r="AM846" s="383"/>
      <c r="AN846" s="383"/>
    </row>
    <row r="847" spans="15:40" ht="15" customHeight="1" x14ac:dyDescent="0.2">
      <c r="O847" s="339" t="s">
        <v>1668</v>
      </c>
      <c r="P847" s="323" t="s">
        <v>219</v>
      </c>
      <c r="AJ847" s="46"/>
      <c r="AK847" s="47"/>
      <c r="AL847" s="383"/>
      <c r="AM847" s="383"/>
      <c r="AN847" s="383"/>
    </row>
    <row r="848" spans="15:40" ht="15" customHeight="1" x14ac:dyDescent="0.2">
      <c r="O848" s="339" t="s">
        <v>1669</v>
      </c>
      <c r="P848" s="323" t="s">
        <v>219</v>
      </c>
      <c r="AJ848" s="46"/>
      <c r="AK848" s="47"/>
      <c r="AL848" s="383"/>
      <c r="AM848" s="383"/>
      <c r="AN848" s="383"/>
    </row>
    <row r="849" spans="15:40" ht="15" customHeight="1" x14ac:dyDescent="0.2">
      <c r="O849" s="339" t="s">
        <v>1670</v>
      </c>
      <c r="P849" s="323" t="s">
        <v>219</v>
      </c>
      <c r="AJ849" s="46"/>
      <c r="AK849" s="47"/>
      <c r="AL849" s="383"/>
      <c r="AM849" s="383"/>
      <c r="AN849" s="383"/>
    </row>
    <row r="850" spans="15:40" ht="15" customHeight="1" x14ac:dyDescent="0.2">
      <c r="O850" s="339" t="s">
        <v>1671</v>
      </c>
      <c r="P850" s="323" t="s">
        <v>219</v>
      </c>
      <c r="AJ850" s="46"/>
      <c r="AK850" s="47"/>
      <c r="AL850" s="383"/>
      <c r="AM850" s="383"/>
      <c r="AN850" s="383"/>
    </row>
    <row r="851" spans="15:40" ht="15" customHeight="1" x14ac:dyDescent="0.2">
      <c r="O851" s="339" t="s">
        <v>1672</v>
      </c>
      <c r="P851" s="323" t="s">
        <v>219</v>
      </c>
      <c r="Q851" s="353"/>
      <c r="AJ851" s="46"/>
      <c r="AK851" s="47"/>
      <c r="AL851" s="383"/>
      <c r="AM851" s="383"/>
      <c r="AN851" s="383"/>
    </row>
    <row r="852" spans="15:40" ht="15" customHeight="1" x14ac:dyDescent="0.2">
      <c r="O852" s="339" t="s">
        <v>1673</v>
      </c>
      <c r="P852" s="323" t="s">
        <v>219</v>
      </c>
      <c r="Q852" s="353"/>
      <c r="AJ852" s="46"/>
      <c r="AK852" s="47"/>
      <c r="AL852" s="383"/>
      <c r="AM852" s="383"/>
      <c r="AN852" s="383"/>
    </row>
    <row r="853" spans="15:40" ht="15" customHeight="1" x14ac:dyDescent="0.2">
      <c r="O853" s="339" t="s">
        <v>1674</v>
      </c>
      <c r="P853" s="323" t="s">
        <v>219</v>
      </c>
      <c r="Q853" s="353"/>
      <c r="AJ853" s="46"/>
      <c r="AK853" s="47"/>
      <c r="AL853" s="383"/>
      <c r="AM853" s="383"/>
      <c r="AN853" s="383"/>
    </row>
    <row r="854" spans="15:40" ht="15" customHeight="1" x14ac:dyDescent="0.2">
      <c r="O854" s="339" t="s">
        <v>1675</v>
      </c>
      <c r="P854" s="323" t="s">
        <v>219</v>
      </c>
      <c r="Q854" s="353"/>
      <c r="AJ854" s="46"/>
      <c r="AK854" s="47"/>
      <c r="AL854" s="383"/>
      <c r="AM854" s="383"/>
      <c r="AN854" s="383"/>
    </row>
    <row r="855" spans="15:40" ht="15" customHeight="1" thickBot="1" x14ac:dyDescent="0.25">
      <c r="O855" s="340" t="s">
        <v>1676</v>
      </c>
      <c r="P855" s="323" t="s">
        <v>219</v>
      </c>
      <c r="Q855" s="353"/>
      <c r="AJ855" s="46"/>
      <c r="AK855" s="47"/>
      <c r="AL855" s="383"/>
      <c r="AM855" s="383"/>
      <c r="AN855" s="383"/>
    </row>
    <row r="856" spans="15:40" ht="15" customHeight="1" x14ac:dyDescent="0.2">
      <c r="O856" s="347" t="s">
        <v>570</v>
      </c>
      <c r="P856" s="323"/>
      <c r="Q856" s="353"/>
      <c r="AJ856" s="46"/>
      <c r="AK856" s="47"/>
      <c r="AL856" s="383"/>
      <c r="AM856" s="383"/>
      <c r="AN856" s="383"/>
    </row>
    <row r="857" spans="15:40" ht="15" customHeight="1" x14ac:dyDescent="0.2">
      <c r="O857" s="339" t="s">
        <v>1677</v>
      </c>
      <c r="P857" s="323" t="s">
        <v>219</v>
      </c>
      <c r="Q857" s="353"/>
      <c r="AJ857" s="46"/>
      <c r="AK857" s="47"/>
      <c r="AL857" s="383"/>
      <c r="AM857" s="383"/>
      <c r="AN857" s="383"/>
    </row>
    <row r="858" spans="15:40" ht="15" customHeight="1" x14ac:dyDescent="0.2">
      <c r="O858" s="339" t="s">
        <v>1678</v>
      </c>
      <c r="P858" s="323" t="s">
        <v>219</v>
      </c>
      <c r="Q858" s="353"/>
      <c r="AJ858" s="46"/>
      <c r="AK858" s="47"/>
      <c r="AL858" s="383"/>
      <c r="AM858" s="383"/>
      <c r="AN858" s="383"/>
    </row>
    <row r="859" spans="15:40" ht="15" customHeight="1" x14ac:dyDescent="0.2">
      <c r="O859" s="339" t="s">
        <v>1679</v>
      </c>
      <c r="P859" s="323" t="s">
        <v>219</v>
      </c>
      <c r="Q859" s="353"/>
      <c r="AJ859" s="46"/>
      <c r="AK859" s="47"/>
      <c r="AL859" s="383"/>
      <c r="AM859" s="383"/>
      <c r="AN859" s="383"/>
    </row>
    <row r="860" spans="15:40" ht="15" customHeight="1" x14ac:dyDescent="0.2">
      <c r="O860" s="339" t="s">
        <v>1680</v>
      </c>
      <c r="P860" s="323" t="s">
        <v>219</v>
      </c>
      <c r="Q860" s="353"/>
      <c r="AJ860" s="46"/>
      <c r="AK860" s="47"/>
      <c r="AL860" s="383"/>
      <c r="AM860" s="383"/>
      <c r="AN860" s="383"/>
    </row>
    <row r="861" spans="15:40" ht="15" customHeight="1" x14ac:dyDescent="0.2">
      <c r="O861" s="339" t="s">
        <v>1681</v>
      </c>
      <c r="P861" s="323" t="s">
        <v>219</v>
      </c>
      <c r="Q861" s="353"/>
      <c r="AJ861" s="46"/>
      <c r="AK861" s="47"/>
      <c r="AL861" s="383"/>
      <c r="AM861" s="383"/>
      <c r="AN861" s="383"/>
    </row>
    <row r="862" spans="15:40" ht="15" customHeight="1" x14ac:dyDescent="0.2">
      <c r="O862" s="339" t="s">
        <v>1682</v>
      </c>
      <c r="P862" s="323" t="s">
        <v>219</v>
      </c>
      <c r="Q862" s="353"/>
      <c r="AJ862" s="46"/>
      <c r="AK862" s="47"/>
      <c r="AL862" s="383"/>
      <c r="AM862" s="383"/>
      <c r="AN862" s="383"/>
    </row>
    <row r="863" spans="15:40" ht="15" customHeight="1" x14ac:dyDescent="0.2">
      <c r="O863" s="339" t="s">
        <v>1683</v>
      </c>
      <c r="P863" s="323" t="s">
        <v>219</v>
      </c>
      <c r="Q863" s="353"/>
      <c r="AJ863" s="46"/>
      <c r="AK863" s="47"/>
      <c r="AL863" s="383"/>
      <c r="AM863" s="383"/>
      <c r="AN863" s="383"/>
    </row>
    <row r="864" spans="15:40" ht="15" customHeight="1" x14ac:dyDescent="0.2">
      <c r="O864" s="339" t="s">
        <v>1684</v>
      </c>
      <c r="P864" s="323" t="s">
        <v>219</v>
      </c>
      <c r="Q864" s="353"/>
      <c r="AJ864" s="46"/>
      <c r="AK864" s="47"/>
      <c r="AL864" s="383"/>
      <c r="AM864" s="383"/>
      <c r="AN864" s="383"/>
    </row>
    <row r="865" spans="15:40" ht="15" customHeight="1" x14ac:dyDescent="0.2">
      <c r="O865" s="339" t="s">
        <v>1685</v>
      </c>
      <c r="P865" s="323" t="s">
        <v>219</v>
      </c>
      <c r="AJ865" s="46"/>
      <c r="AK865" s="47"/>
      <c r="AL865" s="383"/>
      <c r="AM865" s="383"/>
      <c r="AN865" s="383"/>
    </row>
    <row r="866" spans="15:40" ht="15" customHeight="1" x14ac:dyDescent="0.2">
      <c r="O866" s="339" t="s">
        <v>1686</v>
      </c>
      <c r="P866" s="323" t="s">
        <v>219</v>
      </c>
      <c r="AJ866" s="46"/>
      <c r="AK866" s="47"/>
      <c r="AL866" s="383"/>
      <c r="AM866" s="383"/>
      <c r="AN866" s="383"/>
    </row>
    <row r="867" spans="15:40" ht="15" customHeight="1" x14ac:dyDescent="0.2">
      <c r="O867" s="339" t="s">
        <v>1687</v>
      </c>
      <c r="P867" s="323" t="s">
        <v>219</v>
      </c>
      <c r="AJ867" s="46"/>
      <c r="AK867" s="47"/>
      <c r="AL867" s="383"/>
      <c r="AM867" s="383"/>
      <c r="AN867" s="383"/>
    </row>
    <row r="868" spans="15:40" ht="15" customHeight="1" x14ac:dyDescent="0.2">
      <c r="O868" s="357" t="s">
        <v>1688</v>
      </c>
      <c r="P868" s="326" t="s">
        <v>216</v>
      </c>
      <c r="AJ868" s="46"/>
      <c r="AK868" s="47"/>
      <c r="AL868" s="383"/>
      <c r="AM868" s="383"/>
      <c r="AN868" s="383"/>
    </row>
    <row r="869" spans="15:40" ht="15" customHeight="1" x14ac:dyDescent="0.2">
      <c r="O869" s="358" t="s">
        <v>1689</v>
      </c>
      <c r="P869" s="323" t="s">
        <v>219</v>
      </c>
      <c r="AJ869" s="46"/>
      <c r="AK869" s="47"/>
      <c r="AL869" s="383"/>
      <c r="AM869" s="383"/>
      <c r="AN869" s="383"/>
    </row>
    <row r="870" spans="15:40" ht="15" customHeight="1" x14ac:dyDescent="0.2">
      <c r="O870" s="358" t="s">
        <v>1690</v>
      </c>
      <c r="P870" s="323" t="s">
        <v>219</v>
      </c>
      <c r="AJ870" s="46"/>
      <c r="AK870" s="47"/>
      <c r="AL870" s="383"/>
      <c r="AM870" s="383"/>
      <c r="AN870" s="383"/>
    </row>
    <row r="871" spans="15:40" ht="15" customHeight="1" x14ac:dyDescent="0.2">
      <c r="O871" s="358" t="s">
        <v>1691</v>
      </c>
      <c r="P871" s="323" t="s">
        <v>219</v>
      </c>
      <c r="AJ871" s="46"/>
      <c r="AK871" s="47"/>
      <c r="AL871" s="383"/>
      <c r="AM871" s="383"/>
      <c r="AN871" s="383"/>
    </row>
    <row r="872" spans="15:40" ht="15" customHeight="1" x14ac:dyDescent="0.2">
      <c r="O872" s="358" t="s">
        <v>1692</v>
      </c>
      <c r="P872" s="323" t="s">
        <v>219</v>
      </c>
      <c r="AJ872" s="46"/>
      <c r="AK872" s="47"/>
      <c r="AL872" s="383"/>
      <c r="AM872" s="383"/>
      <c r="AN872" s="383"/>
    </row>
    <row r="873" spans="15:40" ht="15" customHeight="1" x14ac:dyDescent="0.2">
      <c r="O873" s="358" t="s">
        <v>1693</v>
      </c>
      <c r="P873" s="323" t="s">
        <v>219</v>
      </c>
      <c r="AJ873" s="46"/>
      <c r="AK873" s="47"/>
      <c r="AL873" s="383"/>
      <c r="AM873" s="383"/>
      <c r="AN873" s="383"/>
    </row>
    <row r="874" spans="15:40" ht="15" customHeight="1" x14ac:dyDescent="0.2">
      <c r="O874" s="358" t="s">
        <v>1694</v>
      </c>
      <c r="P874" s="323" t="s">
        <v>219</v>
      </c>
      <c r="AJ874" s="46"/>
      <c r="AK874" s="47"/>
      <c r="AL874" s="383"/>
      <c r="AM874" s="383"/>
      <c r="AN874" s="383"/>
    </row>
    <row r="875" spans="15:40" ht="15" customHeight="1" x14ac:dyDescent="0.2">
      <c r="O875" s="358" t="s">
        <v>1695</v>
      </c>
      <c r="P875" s="323" t="s">
        <v>219</v>
      </c>
      <c r="AJ875" s="46"/>
      <c r="AK875" s="47"/>
      <c r="AL875" s="383"/>
      <c r="AM875" s="383"/>
      <c r="AN875" s="383"/>
    </row>
    <row r="876" spans="15:40" ht="15" customHeight="1" x14ac:dyDescent="0.2">
      <c r="O876" s="358" t="s">
        <v>1696</v>
      </c>
      <c r="P876" s="323" t="s">
        <v>219</v>
      </c>
      <c r="AJ876" s="46"/>
      <c r="AK876" s="47"/>
      <c r="AL876" s="383"/>
      <c r="AM876" s="383"/>
      <c r="AN876" s="383"/>
    </row>
    <row r="877" spans="15:40" ht="15" customHeight="1" x14ac:dyDescent="0.2">
      <c r="O877" s="358" t="s">
        <v>1697</v>
      </c>
      <c r="P877" s="323" t="s">
        <v>219</v>
      </c>
      <c r="AJ877" s="46"/>
      <c r="AK877" s="47"/>
      <c r="AL877" s="383"/>
      <c r="AM877" s="383"/>
      <c r="AN877" s="383"/>
    </row>
    <row r="878" spans="15:40" ht="15" customHeight="1" x14ac:dyDescent="0.2">
      <c r="O878" s="358" t="s">
        <v>1698</v>
      </c>
      <c r="P878" s="323" t="s">
        <v>219</v>
      </c>
      <c r="AJ878" s="46"/>
      <c r="AK878" s="47"/>
      <c r="AL878" s="383"/>
      <c r="AM878" s="383"/>
      <c r="AN878" s="383"/>
    </row>
    <row r="879" spans="15:40" ht="15" customHeight="1" x14ac:dyDescent="0.2">
      <c r="O879" s="358" t="s">
        <v>1699</v>
      </c>
      <c r="P879" s="323" t="s">
        <v>219</v>
      </c>
      <c r="AJ879" s="46"/>
      <c r="AK879" s="47"/>
      <c r="AL879" s="383"/>
      <c r="AM879" s="383"/>
      <c r="AN879" s="383"/>
    </row>
    <row r="880" spans="15:40" ht="15" customHeight="1" x14ac:dyDescent="0.2">
      <c r="O880" s="358" t="s">
        <v>1700</v>
      </c>
      <c r="P880" s="323" t="s">
        <v>219</v>
      </c>
      <c r="AJ880" s="46"/>
      <c r="AK880" s="47"/>
      <c r="AL880" s="383"/>
      <c r="AM880" s="383"/>
      <c r="AN880" s="383"/>
    </row>
    <row r="881" spans="15:40" ht="15" customHeight="1" x14ac:dyDescent="0.2">
      <c r="O881" s="358" t="s">
        <v>1701</v>
      </c>
      <c r="P881" s="323" t="s">
        <v>219</v>
      </c>
      <c r="AJ881" s="46"/>
      <c r="AK881" s="47"/>
      <c r="AL881" s="383"/>
      <c r="AM881" s="383"/>
      <c r="AN881" s="383"/>
    </row>
    <row r="882" spans="15:40" ht="15" customHeight="1" x14ac:dyDescent="0.2">
      <c r="O882" s="356"/>
      <c r="P882" s="323"/>
      <c r="AJ882" s="46"/>
      <c r="AK882" s="47"/>
      <c r="AL882" s="383"/>
      <c r="AM882" s="383"/>
      <c r="AN882" s="383"/>
    </row>
    <row r="883" spans="15:40" ht="15" customHeight="1" x14ac:dyDescent="0.2">
      <c r="O883" s="330"/>
      <c r="P883" s="323"/>
      <c r="AJ883" s="46"/>
      <c r="AK883" s="47"/>
      <c r="AL883" s="383"/>
      <c r="AM883" s="383"/>
      <c r="AN883" s="383"/>
    </row>
    <row r="884" spans="15:40" ht="15" customHeight="1" x14ac:dyDescent="0.2">
      <c r="O884" s="332"/>
      <c r="P884" s="323"/>
      <c r="AJ884" s="46"/>
      <c r="AK884" s="47"/>
      <c r="AL884" s="383"/>
      <c r="AM884" s="383"/>
      <c r="AN884" s="383"/>
    </row>
    <row r="885" spans="15:40" ht="15" customHeight="1" x14ac:dyDescent="0.2">
      <c r="O885" s="332"/>
      <c r="P885" s="323"/>
      <c r="AJ885" s="46"/>
      <c r="AK885" s="47"/>
      <c r="AL885" s="383"/>
      <c r="AM885" s="383"/>
      <c r="AN885" s="383"/>
    </row>
    <row r="886" spans="15:40" ht="15" customHeight="1" x14ac:dyDescent="0.2">
      <c r="O886" s="332"/>
      <c r="P886" s="323"/>
      <c r="AJ886" s="46"/>
      <c r="AK886" s="47"/>
      <c r="AL886" s="383"/>
      <c r="AM886" s="383"/>
      <c r="AN886" s="383"/>
    </row>
    <row r="887" spans="15:40" ht="15" customHeight="1" x14ac:dyDescent="0.2">
      <c r="O887" s="332"/>
      <c r="P887" s="323"/>
      <c r="AJ887" s="46"/>
      <c r="AK887" s="47"/>
      <c r="AL887" s="383"/>
      <c r="AM887" s="383"/>
      <c r="AN887" s="383"/>
    </row>
    <row r="888" spans="15:40" ht="15" customHeight="1" x14ac:dyDescent="0.2">
      <c r="O888" s="332"/>
      <c r="P888" s="323"/>
      <c r="AJ888" s="46"/>
      <c r="AK888" s="47"/>
      <c r="AL888" s="383"/>
      <c r="AM888" s="383"/>
      <c r="AN888" s="383"/>
    </row>
    <row r="889" spans="15:40" ht="15" customHeight="1" x14ac:dyDescent="0.2">
      <c r="O889" s="334"/>
      <c r="P889" s="335"/>
      <c r="AJ889" s="46"/>
      <c r="AK889" s="47"/>
      <c r="AL889" s="383"/>
      <c r="AM889" s="383"/>
      <c r="AN889" s="383"/>
    </row>
    <row r="890" spans="15:40" ht="15" customHeight="1" x14ac:dyDescent="0.2">
      <c r="O890" s="329"/>
      <c r="P890" s="326"/>
      <c r="AJ890" s="46"/>
      <c r="AK890" s="47"/>
      <c r="AL890" s="383"/>
      <c r="AM890" s="383"/>
      <c r="AN890" s="383"/>
    </row>
    <row r="891" spans="15:40" ht="15" customHeight="1" x14ac:dyDescent="0.2">
      <c r="O891" s="329"/>
      <c r="P891" s="326"/>
      <c r="AJ891" s="46"/>
      <c r="AK891" s="47"/>
      <c r="AL891" s="383"/>
      <c r="AM891" s="383"/>
      <c r="AN891" s="383"/>
    </row>
    <row r="892" spans="15:40" ht="15" customHeight="1" x14ac:dyDescent="0.2">
      <c r="O892" s="329"/>
      <c r="P892" s="326"/>
      <c r="AJ892" s="46"/>
      <c r="AK892" s="47"/>
      <c r="AL892" s="383"/>
      <c r="AM892" s="383"/>
      <c r="AN892" s="383"/>
    </row>
    <row r="893" spans="15:40" ht="15" customHeight="1" x14ac:dyDescent="0.2">
      <c r="O893" s="330"/>
      <c r="P893" s="323"/>
      <c r="AJ893" s="46"/>
      <c r="AK893" s="47"/>
      <c r="AL893" s="383"/>
      <c r="AM893" s="383"/>
      <c r="AN893" s="383"/>
    </row>
    <row r="894" spans="15:40" ht="15" customHeight="1" x14ac:dyDescent="0.2">
      <c r="O894" s="330"/>
      <c r="P894" s="323"/>
      <c r="AJ894" s="46"/>
      <c r="AK894" s="47"/>
      <c r="AL894" s="383"/>
      <c r="AM894" s="383"/>
      <c r="AN894" s="383"/>
    </row>
    <row r="895" spans="15:40" ht="15" customHeight="1" x14ac:dyDescent="0.2">
      <c r="O895" s="330"/>
      <c r="P895" s="323"/>
      <c r="AJ895" s="46"/>
      <c r="AK895" s="47"/>
      <c r="AL895" s="383"/>
      <c r="AM895" s="383"/>
      <c r="AN895" s="383"/>
    </row>
    <row r="896" spans="15:40" ht="15" customHeight="1" x14ac:dyDescent="0.2">
      <c r="O896" s="330"/>
      <c r="P896" s="323"/>
      <c r="AJ896" s="46"/>
      <c r="AK896" s="47"/>
      <c r="AL896" s="383"/>
      <c r="AM896" s="383"/>
      <c r="AN896" s="383"/>
    </row>
    <row r="897" spans="15:40" ht="15" customHeight="1" x14ac:dyDescent="0.2">
      <c r="O897" s="330"/>
      <c r="P897" s="323"/>
      <c r="AJ897" s="46"/>
      <c r="AK897" s="47"/>
      <c r="AL897" s="383"/>
      <c r="AM897" s="383"/>
      <c r="AN897" s="383"/>
    </row>
    <row r="898" spans="15:40" ht="15" customHeight="1" x14ac:dyDescent="0.2">
      <c r="O898" s="330"/>
      <c r="P898" s="323"/>
      <c r="AJ898" s="46"/>
      <c r="AK898" s="47"/>
      <c r="AL898" s="383"/>
      <c r="AM898" s="383"/>
      <c r="AN898" s="383"/>
    </row>
    <row r="899" spans="15:40" ht="15" customHeight="1" x14ac:dyDescent="0.2">
      <c r="O899" s="330"/>
      <c r="P899" s="323"/>
      <c r="AJ899" s="46"/>
      <c r="AK899" s="47"/>
      <c r="AL899" s="383"/>
      <c r="AM899" s="383"/>
      <c r="AN899" s="383"/>
    </row>
    <row r="900" spans="15:40" ht="15" customHeight="1" x14ac:dyDescent="0.2">
      <c r="O900" s="330"/>
      <c r="P900" s="323"/>
      <c r="AJ900" s="46"/>
      <c r="AK900" s="47"/>
      <c r="AL900" s="383"/>
      <c r="AM900" s="383"/>
      <c r="AN900" s="383"/>
    </row>
    <row r="901" spans="15:40" ht="15" customHeight="1" x14ac:dyDescent="0.2">
      <c r="O901" s="330"/>
      <c r="P901" s="323"/>
      <c r="AJ901" s="46"/>
      <c r="AK901" s="47"/>
      <c r="AL901" s="383"/>
      <c r="AM901" s="383"/>
      <c r="AN901" s="383"/>
    </row>
    <row r="902" spans="15:40" ht="15" customHeight="1" x14ac:dyDescent="0.2">
      <c r="O902" s="330"/>
      <c r="P902" s="323"/>
      <c r="AJ902" s="46"/>
      <c r="AK902" s="47"/>
      <c r="AL902" s="383"/>
      <c r="AM902" s="383"/>
      <c r="AN902" s="383"/>
    </row>
    <row r="903" spans="15:40" ht="15" customHeight="1" x14ac:dyDescent="0.2">
      <c r="O903" s="330"/>
      <c r="P903" s="323"/>
      <c r="AJ903" s="46"/>
      <c r="AK903" s="47"/>
      <c r="AL903" s="383"/>
      <c r="AM903" s="383"/>
      <c r="AN903" s="383"/>
    </row>
    <row r="904" spans="15:40" ht="15" customHeight="1" x14ac:dyDescent="0.2">
      <c r="O904" s="330"/>
      <c r="P904" s="323"/>
      <c r="AJ904" s="46"/>
      <c r="AK904" s="47"/>
      <c r="AL904" s="383"/>
      <c r="AM904" s="383"/>
      <c r="AN904" s="383"/>
    </row>
    <row r="905" spans="15:40" ht="15" customHeight="1" x14ac:dyDescent="0.2">
      <c r="O905" s="330"/>
      <c r="P905" s="323"/>
      <c r="AJ905" s="46"/>
      <c r="AK905" s="47"/>
      <c r="AL905" s="383"/>
      <c r="AM905" s="383"/>
      <c r="AN905" s="383"/>
    </row>
    <row r="906" spans="15:40" ht="15" customHeight="1" x14ac:dyDescent="0.2">
      <c r="O906" s="330"/>
      <c r="P906" s="323"/>
      <c r="AJ906" s="46"/>
      <c r="AK906" s="47"/>
      <c r="AL906" s="383"/>
      <c r="AM906" s="383"/>
      <c r="AN906" s="383"/>
    </row>
    <row r="907" spans="15:40" ht="15" customHeight="1" x14ac:dyDescent="0.2">
      <c r="O907" s="330"/>
      <c r="P907" s="323"/>
      <c r="AJ907" s="46"/>
      <c r="AK907" s="47"/>
      <c r="AL907" s="383"/>
      <c r="AM907" s="383"/>
      <c r="AN907" s="383"/>
    </row>
    <row r="908" spans="15:40" ht="15" customHeight="1" x14ac:dyDescent="0.2">
      <c r="O908" s="330"/>
      <c r="P908" s="323"/>
      <c r="AJ908" s="46"/>
      <c r="AK908" s="47"/>
      <c r="AL908" s="383"/>
      <c r="AM908" s="383"/>
      <c r="AN908" s="383"/>
    </row>
    <row r="909" spans="15:40" ht="15" customHeight="1" x14ac:dyDescent="0.2">
      <c r="O909" s="330"/>
      <c r="P909" s="323"/>
      <c r="AJ909" s="46"/>
      <c r="AK909" s="47"/>
      <c r="AL909" s="383"/>
      <c r="AM909" s="383"/>
      <c r="AN909" s="383"/>
    </row>
    <row r="910" spans="15:40" ht="15" customHeight="1" x14ac:dyDescent="0.2">
      <c r="O910" s="334"/>
      <c r="P910" s="335"/>
      <c r="AJ910" s="46"/>
      <c r="AK910" s="47"/>
      <c r="AL910" s="383"/>
      <c r="AM910" s="383"/>
      <c r="AN910" s="383"/>
    </row>
    <row r="911" spans="15:40" ht="15" customHeight="1" x14ac:dyDescent="0.2">
      <c r="O911" s="329"/>
      <c r="P911" s="326"/>
      <c r="AJ911" s="46"/>
      <c r="AK911" s="47"/>
      <c r="AL911" s="383"/>
      <c r="AM911" s="383"/>
      <c r="AN911" s="383"/>
    </row>
    <row r="912" spans="15:40" ht="15" customHeight="1" x14ac:dyDescent="0.2">
      <c r="O912" s="329"/>
      <c r="P912" s="326"/>
      <c r="AJ912" s="46"/>
      <c r="AK912" s="47"/>
      <c r="AL912" s="383"/>
      <c r="AM912" s="383"/>
      <c r="AN912" s="383"/>
    </row>
    <row r="913" spans="15:40" ht="15" customHeight="1" x14ac:dyDescent="0.2">
      <c r="O913" s="329"/>
      <c r="P913" s="326"/>
      <c r="AJ913" s="46"/>
      <c r="AK913" s="47"/>
      <c r="AL913" s="383"/>
      <c r="AM913" s="383"/>
      <c r="AN913" s="383"/>
    </row>
    <row r="914" spans="15:40" ht="15" customHeight="1" x14ac:dyDescent="0.2">
      <c r="O914" s="329"/>
      <c r="P914" s="326"/>
      <c r="AJ914" s="46"/>
      <c r="AK914" s="47"/>
      <c r="AL914" s="383"/>
      <c r="AM914" s="383"/>
      <c r="AN914" s="383"/>
    </row>
    <row r="915" spans="15:40" ht="15" customHeight="1" x14ac:dyDescent="0.2">
      <c r="O915" s="329"/>
      <c r="P915" s="326"/>
      <c r="AJ915" s="46"/>
      <c r="AK915" s="47"/>
      <c r="AL915" s="383"/>
      <c r="AM915" s="383"/>
      <c r="AN915" s="383"/>
    </row>
    <row r="916" spans="15:40" ht="15" customHeight="1" x14ac:dyDescent="0.2">
      <c r="O916" s="329"/>
      <c r="P916" s="326"/>
      <c r="AJ916" s="46"/>
      <c r="AK916" s="47"/>
      <c r="AL916" s="383"/>
      <c r="AM916" s="383"/>
      <c r="AN916" s="383"/>
    </row>
    <row r="917" spans="15:40" ht="15" customHeight="1" x14ac:dyDescent="0.2">
      <c r="O917" s="329"/>
      <c r="P917" s="326"/>
      <c r="AJ917" s="46"/>
      <c r="AK917" s="47"/>
      <c r="AL917" s="383"/>
      <c r="AM917" s="383"/>
      <c r="AN917" s="383"/>
    </row>
    <row r="918" spans="15:40" ht="15" customHeight="1" x14ac:dyDescent="0.2">
      <c r="O918" s="330"/>
      <c r="P918" s="323"/>
      <c r="AJ918" s="46"/>
      <c r="AK918" s="47"/>
      <c r="AL918" s="383"/>
      <c r="AM918" s="383"/>
      <c r="AN918" s="383"/>
    </row>
    <row r="919" spans="15:40" ht="15" customHeight="1" x14ac:dyDescent="0.2">
      <c r="O919" s="330"/>
      <c r="P919" s="323"/>
      <c r="AJ919" s="46"/>
      <c r="AK919" s="47"/>
      <c r="AL919" s="383"/>
      <c r="AM919" s="383"/>
      <c r="AN919" s="383"/>
    </row>
    <row r="920" spans="15:40" ht="15" customHeight="1" x14ac:dyDescent="0.2">
      <c r="O920" s="330"/>
      <c r="P920" s="323"/>
      <c r="AJ920" s="46"/>
      <c r="AK920" s="47"/>
      <c r="AL920" s="383"/>
      <c r="AM920" s="383"/>
      <c r="AN920" s="383"/>
    </row>
    <row r="921" spans="15:40" ht="15" customHeight="1" x14ac:dyDescent="0.2">
      <c r="O921" s="330"/>
      <c r="P921" s="323"/>
      <c r="AJ921" s="46"/>
      <c r="AK921" s="47"/>
      <c r="AL921" s="383"/>
      <c r="AM921" s="383"/>
      <c r="AN921" s="383"/>
    </row>
    <row r="922" spans="15:40" ht="15" customHeight="1" x14ac:dyDescent="0.2">
      <c r="O922" s="330"/>
      <c r="P922" s="323"/>
      <c r="AJ922" s="46"/>
      <c r="AK922" s="47"/>
      <c r="AL922" s="383"/>
      <c r="AM922" s="383"/>
      <c r="AN922" s="383"/>
    </row>
    <row r="923" spans="15:40" ht="15" customHeight="1" x14ac:dyDescent="0.2">
      <c r="O923" s="330"/>
      <c r="P923" s="323"/>
      <c r="AJ923" s="46"/>
      <c r="AK923" s="47"/>
      <c r="AL923" s="383"/>
      <c r="AM923" s="383"/>
      <c r="AN923" s="383"/>
    </row>
    <row r="924" spans="15:40" ht="15" customHeight="1" x14ac:dyDescent="0.2">
      <c r="O924" s="330"/>
      <c r="P924" s="323"/>
      <c r="AJ924" s="46"/>
      <c r="AK924" s="47"/>
      <c r="AL924" s="383"/>
      <c r="AM924" s="383"/>
      <c r="AN924" s="383"/>
    </row>
    <row r="925" spans="15:40" ht="15" customHeight="1" x14ac:dyDescent="0.2">
      <c r="O925" s="330"/>
      <c r="P925" s="323"/>
      <c r="AJ925" s="46"/>
      <c r="AK925" s="47"/>
      <c r="AL925" s="383"/>
      <c r="AM925" s="383"/>
      <c r="AN925" s="383"/>
    </row>
    <row r="926" spans="15:40" ht="15" customHeight="1" x14ac:dyDescent="0.2">
      <c r="O926" s="334"/>
      <c r="P926" s="335"/>
      <c r="AJ926" s="46"/>
      <c r="AK926" s="47"/>
      <c r="AL926" s="383"/>
      <c r="AM926" s="383"/>
      <c r="AN926" s="383"/>
    </row>
    <row r="927" spans="15:40" ht="15" customHeight="1" x14ac:dyDescent="0.2">
      <c r="O927" s="322"/>
      <c r="P927" s="323"/>
      <c r="AJ927" s="46"/>
      <c r="AK927" s="47"/>
      <c r="AL927" s="383"/>
      <c r="AM927" s="383"/>
      <c r="AN927" s="383"/>
    </row>
    <row r="928" spans="15:40" ht="15" customHeight="1" x14ac:dyDescent="0.2">
      <c r="O928" s="322"/>
      <c r="P928" s="323"/>
      <c r="AJ928" s="46"/>
      <c r="AK928" s="47"/>
      <c r="AL928" s="383"/>
      <c r="AM928" s="383"/>
      <c r="AN928" s="383"/>
    </row>
    <row r="929" spans="15:40" ht="15" customHeight="1" x14ac:dyDescent="0.2">
      <c r="O929" s="322"/>
      <c r="P929" s="323"/>
      <c r="AJ929" s="46"/>
      <c r="AK929" s="47"/>
      <c r="AL929" s="383"/>
      <c r="AM929" s="383"/>
      <c r="AN929" s="383"/>
    </row>
    <row r="930" spans="15:40" ht="15" customHeight="1" x14ac:dyDescent="0.2">
      <c r="O930" s="322"/>
      <c r="P930" s="323"/>
      <c r="AJ930" s="46"/>
      <c r="AK930" s="47"/>
      <c r="AL930" s="383"/>
      <c r="AM930" s="383"/>
      <c r="AN930" s="383"/>
    </row>
    <row r="931" spans="15:40" ht="15" customHeight="1" x14ac:dyDescent="0.2">
      <c r="O931" s="322"/>
      <c r="P931" s="323"/>
      <c r="AJ931" s="46"/>
      <c r="AK931" s="47"/>
      <c r="AL931" s="383"/>
      <c r="AM931" s="383"/>
      <c r="AN931" s="383"/>
    </row>
    <row r="932" spans="15:40" ht="15" customHeight="1" x14ac:dyDescent="0.2">
      <c r="O932" s="322"/>
      <c r="P932" s="323"/>
      <c r="AJ932" s="46"/>
      <c r="AK932" s="47"/>
      <c r="AL932" s="383"/>
      <c r="AM932" s="383"/>
      <c r="AN932" s="383"/>
    </row>
    <row r="933" spans="15:40" ht="15" customHeight="1" x14ac:dyDescent="0.2">
      <c r="O933" s="322"/>
      <c r="P933" s="323"/>
      <c r="AJ933" s="46"/>
      <c r="AK933" s="47"/>
      <c r="AL933" s="383"/>
      <c r="AM933" s="383"/>
      <c r="AN933" s="383"/>
    </row>
    <row r="934" spans="15:40" ht="15" customHeight="1" x14ac:dyDescent="0.2">
      <c r="O934" s="322"/>
      <c r="P934" s="323"/>
      <c r="AJ934" s="46"/>
      <c r="AK934" s="47"/>
      <c r="AL934" s="383"/>
      <c r="AM934" s="383"/>
      <c r="AN934" s="383"/>
    </row>
    <row r="935" spans="15:40" ht="15" customHeight="1" x14ac:dyDescent="0.2">
      <c r="O935" s="322"/>
      <c r="P935" s="323"/>
      <c r="AJ935" s="46"/>
      <c r="AK935" s="47"/>
      <c r="AL935" s="383"/>
      <c r="AM935" s="383"/>
      <c r="AN935" s="383"/>
    </row>
    <row r="936" spans="15:40" ht="15" customHeight="1" x14ac:dyDescent="0.2">
      <c r="O936" s="322"/>
      <c r="P936" s="323"/>
      <c r="AJ936" s="46"/>
      <c r="AK936" s="47"/>
      <c r="AL936" s="383"/>
      <c r="AM936" s="383"/>
      <c r="AN936" s="383"/>
    </row>
    <row r="937" spans="15:40" ht="15" customHeight="1" x14ac:dyDescent="0.2">
      <c r="O937" s="322"/>
      <c r="P937" s="323"/>
      <c r="AJ937" s="46"/>
      <c r="AK937" s="47"/>
      <c r="AL937" s="383"/>
      <c r="AM937" s="383"/>
      <c r="AN937" s="383"/>
    </row>
    <row r="938" spans="15:40" ht="15" customHeight="1" x14ac:dyDescent="0.2">
      <c r="O938" s="322"/>
      <c r="P938" s="323"/>
      <c r="AJ938" s="46"/>
      <c r="AK938" s="47"/>
      <c r="AL938" s="383"/>
      <c r="AM938" s="383"/>
      <c r="AN938" s="383"/>
    </row>
    <row r="939" spans="15:40" ht="15" customHeight="1" x14ac:dyDescent="0.2">
      <c r="O939" s="322"/>
      <c r="P939" s="323"/>
      <c r="AJ939" s="46"/>
      <c r="AK939" s="47"/>
      <c r="AL939" s="383"/>
      <c r="AM939" s="383"/>
      <c r="AN939" s="383"/>
    </row>
    <row r="940" spans="15:40" ht="15" customHeight="1" x14ac:dyDescent="0.2">
      <c r="O940" s="322"/>
      <c r="P940" s="323"/>
      <c r="AJ940" s="46"/>
      <c r="AK940" s="47"/>
      <c r="AL940" s="383"/>
      <c r="AM940" s="383"/>
      <c r="AN940" s="383"/>
    </row>
    <row r="941" spans="15:40" ht="15" customHeight="1" x14ac:dyDescent="0.2">
      <c r="O941" s="322"/>
      <c r="P941" s="323"/>
      <c r="AJ941" s="46"/>
      <c r="AK941" s="47"/>
      <c r="AL941" s="383"/>
      <c r="AM941" s="383"/>
      <c r="AN941" s="383"/>
    </row>
    <row r="942" spans="15:40" ht="15" customHeight="1" x14ac:dyDescent="0.2">
      <c r="O942" s="322"/>
      <c r="P942" s="322"/>
      <c r="AJ942" s="46"/>
      <c r="AK942" s="47"/>
      <c r="AL942" s="383"/>
      <c r="AM942" s="383"/>
      <c r="AN942" s="383"/>
    </row>
    <row r="943" spans="15:40" ht="15" customHeight="1" x14ac:dyDescent="0.2">
      <c r="O943" s="322"/>
      <c r="P943" s="323"/>
      <c r="AJ943" s="46"/>
      <c r="AK943" s="47"/>
      <c r="AL943" s="383"/>
      <c r="AM943" s="383"/>
      <c r="AN943" s="383"/>
    </row>
    <row r="944" spans="15:40" ht="15" customHeight="1" x14ac:dyDescent="0.2">
      <c r="O944" s="322"/>
      <c r="P944" s="323"/>
      <c r="AJ944" s="46"/>
      <c r="AK944" s="47"/>
      <c r="AL944" s="383"/>
      <c r="AM944" s="383"/>
      <c r="AN944" s="383"/>
    </row>
    <row r="945" spans="15:40" ht="15" customHeight="1" x14ac:dyDescent="0.2">
      <c r="O945" s="322"/>
      <c r="P945" s="323"/>
      <c r="AJ945" s="46"/>
      <c r="AK945" s="47"/>
      <c r="AL945" s="383"/>
      <c r="AM945" s="383"/>
      <c r="AN945" s="383"/>
    </row>
    <row r="946" spans="15:40" ht="15" customHeight="1" x14ac:dyDescent="0.2">
      <c r="O946" s="322"/>
      <c r="P946" s="323"/>
      <c r="AJ946" s="46"/>
      <c r="AK946" s="47"/>
      <c r="AL946" s="383"/>
      <c r="AM946" s="383"/>
      <c r="AN946" s="383"/>
    </row>
    <row r="947" spans="15:40" ht="15" customHeight="1" x14ac:dyDescent="0.2">
      <c r="O947" s="322"/>
      <c r="P947" s="323"/>
      <c r="AJ947" s="46"/>
      <c r="AK947" s="47"/>
      <c r="AL947" s="383"/>
      <c r="AM947" s="383"/>
      <c r="AN947" s="383"/>
    </row>
    <row r="948" spans="15:40" ht="15" customHeight="1" x14ac:dyDescent="0.2">
      <c r="O948" s="322"/>
      <c r="P948" s="323"/>
      <c r="AJ948" s="46"/>
      <c r="AK948" s="47"/>
      <c r="AL948" s="383"/>
      <c r="AM948" s="383"/>
      <c r="AN948" s="383"/>
    </row>
    <row r="949" spans="15:40" ht="15" customHeight="1" x14ac:dyDescent="0.2">
      <c r="O949" s="315"/>
      <c r="P949" s="314"/>
      <c r="AJ949" s="46"/>
      <c r="AK949" s="47"/>
      <c r="AL949" s="383"/>
      <c r="AM949" s="383"/>
      <c r="AN949" s="383"/>
    </row>
    <row r="950" spans="15:40" ht="15" customHeight="1" x14ac:dyDescent="0.2">
      <c r="O950" s="322"/>
      <c r="P950" s="323"/>
      <c r="AJ950" s="46"/>
      <c r="AK950" s="47"/>
      <c r="AL950" s="383"/>
      <c r="AM950" s="383"/>
      <c r="AN950" s="383"/>
    </row>
    <row r="951" spans="15:40" ht="15" customHeight="1" x14ac:dyDescent="0.2">
      <c r="O951" s="322"/>
      <c r="P951" s="323"/>
      <c r="AJ951" s="46"/>
      <c r="AK951" s="47"/>
      <c r="AL951" s="383"/>
      <c r="AM951" s="383"/>
      <c r="AN951" s="383"/>
    </row>
    <row r="952" spans="15:40" ht="15" customHeight="1" x14ac:dyDescent="0.2">
      <c r="O952" s="322"/>
      <c r="P952" s="323"/>
      <c r="AJ952" s="46"/>
      <c r="AK952" s="47"/>
      <c r="AL952" s="383"/>
      <c r="AM952" s="383"/>
      <c r="AN952" s="383"/>
    </row>
    <row r="953" spans="15:40" ht="15" customHeight="1" x14ac:dyDescent="0.2">
      <c r="O953" s="322"/>
      <c r="P953" s="323"/>
      <c r="AJ953" s="46"/>
      <c r="AK953" s="47"/>
      <c r="AL953" s="383"/>
      <c r="AM953" s="383"/>
      <c r="AN953" s="383"/>
    </row>
    <row r="954" spans="15:40" ht="15" customHeight="1" x14ac:dyDescent="0.2">
      <c r="O954" s="322"/>
      <c r="P954" s="323"/>
      <c r="AJ954" s="46"/>
      <c r="AK954" s="47"/>
      <c r="AL954" s="383"/>
      <c r="AM954" s="383"/>
      <c r="AN954" s="383"/>
    </row>
    <row r="955" spans="15:40" ht="15" customHeight="1" x14ac:dyDescent="0.2">
      <c r="O955" s="322"/>
      <c r="P955" s="323"/>
      <c r="AJ955" s="46"/>
      <c r="AK955" s="47"/>
      <c r="AL955" s="383"/>
      <c r="AM955" s="383"/>
      <c r="AN955" s="383"/>
    </row>
    <row r="956" spans="15:40" ht="15" customHeight="1" x14ac:dyDescent="0.2">
      <c r="O956" s="322"/>
      <c r="P956" s="323"/>
      <c r="AJ956" s="46"/>
      <c r="AK956" s="47"/>
      <c r="AL956" s="383"/>
      <c r="AM956" s="383"/>
      <c r="AN956" s="383"/>
    </row>
    <row r="957" spans="15:40" ht="15" customHeight="1" x14ac:dyDescent="0.2">
      <c r="O957" s="322"/>
      <c r="P957" s="323"/>
      <c r="AJ957" s="46"/>
      <c r="AK957" s="47"/>
      <c r="AL957" s="383"/>
      <c r="AM957" s="383"/>
      <c r="AN957" s="383"/>
    </row>
    <row r="958" spans="15:40" ht="15" customHeight="1" x14ac:dyDescent="0.2">
      <c r="O958" s="322"/>
      <c r="P958" s="323"/>
      <c r="AJ958" s="46"/>
      <c r="AK958" s="47"/>
      <c r="AL958" s="383"/>
      <c r="AM958" s="383"/>
      <c r="AN958" s="383"/>
    </row>
    <row r="959" spans="15:40" ht="15" customHeight="1" x14ac:dyDescent="0.2">
      <c r="O959" s="322"/>
      <c r="P959" s="323"/>
      <c r="AJ959" s="46"/>
      <c r="AK959" s="47"/>
      <c r="AL959" s="383"/>
      <c r="AM959" s="383"/>
      <c r="AN959" s="383"/>
    </row>
    <row r="960" spans="15:40" ht="15" customHeight="1" x14ac:dyDescent="0.2">
      <c r="O960" s="322"/>
      <c r="P960" s="323"/>
      <c r="AJ960" s="46"/>
      <c r="AK960" s="47"/>
      <c r="AL960" s="383"/>
      <c r="AM960" s="383"/>
      <c r="AN960" s="383"/>
    </row>
    <row r="961" spans="15:40" ht="15" customHeight="1" x14ac:dyDescent="0.2">
      <c r="O961" s="322"/>
      <c r="P961" s="323"/>
      <c r="AJ961" s="46"/>
      <c r="AK961" s="47"/>
      <c r="AL961" s="383"/>
      <c r="AM961" s="383"/>
      <c r="AN961" s="383"/>
    </row>
    <row r="962" spans="15:40" ht="15" customHeight="1" x14ac:dyDescent="0.2">
      <c r="O962" s="322"/>
      <c r="P962" s="323"/>
      <c r="AJ962" s="46"/>
      <c r="AK962" s="47"/>
      <c r="AL962" s="383"/>
      <c r="AM962" s="383"/>
      <c r="AN962" s="383"/>
    </row>
    <row r="963" spans="15:40" ht="15" customHeight="1" x14ac:dyDescent="0.2">
      <c r="O963" s="315"/>
      <c r="P963" s="314"/>
      <c r="AJ963" s="46"/>
      <c r="AK963" s="47"/>
      <c r="AL963" s="383"/>
      <c r="AM963" s="383"/>
      <c r="AN963" s="383"/>
    </row>
    <row r="964" spans="15:40" ht="15" customHeight="1" x14ac:dyDescent="0.2">
      <c r="O964" s="322"/>
      <c r="P964" s="323"/>
      <c r="AJ964" s="46"/>
      <c r="AK964" s="47"/>
      <c r="AL964" s="383"/>
      <c r="AM964" s="383"/>
      <c r="AN964" s="383"/>
    </row>
    <row r="965" spans="15:40" ht="15" customHeight="1" x14ac:dyDescent="0.2">
      <c r="O965" s="322"/>
      <c r="P965" s="323"/>
      <c r="AJ965" s="46"/>
      <c r="AK965" s="47"/>
      <c r="AL965" s="383"/>
      <c r="AM965" s="383"/>
      <c r="AN965" s="383"/>
    </row>
    <row r="966" spans="15:40" ht="15" customHeight="1" x14ac:dyDescent="0.2">
      <c r="O966" s="322"/>
      <c r="P966" s="323"/>
      <c r="AJ966" s="46"/>
      <c r="AK966" s="47"/>
      <c r="AL966" s="383"/>
      <c r="AM966" s="383"/>
      <c r="AN966" s="383"/>
    </row>
    <row r="967" spans="15:40" ht="15" customHeight="1" x14ac:dyDescent="0.2">
      <c r="O967" s="322"/>
      <c r="P967" s="323"/>
      <c r="AJ967" s="46"/>
      <c r="AK967" s="47"/>
      <c r="AL967" s="383"/>
      <c r="AM967" s="383"/>
      <c r="AN967" s="383"/>
    </row>
    <row r="968" spans="15:40" ht="15" customHeight="1" x14ac:dyDescent="0.2">
      <c r="O968" s="322"/>
      <c r="P968" s="323"/>
      <c r="AJ968" s="46"/>
      <c r="AK968" s="47"/>
      <c r="AL968" s="383"/>
      <c r="AM968" s="383"/>
      <c r="AN968" s="383"/>
    </row>
    <row r="969" spans="15:40" ht="15" customHeight="1" x14ac:dyDescent="0.2">
      <c r="O969" s="322"/>
      <c r="P969" s="323"/>
      <c r="AJ969" s="46"/>
      <c r="AK969" s="47"/>
      <c r="AL969" s="383"/>
      <c r="AM969" s="383"/>
      <c r="AN969" s="383"/>
    </row>
    <row r="970" spans="15:40" ht="15" customHeight="1" x14ac:dyDescent="0.2">
      <c r="O970" s="322"/>
      <c r="P970" s="323"/>
      <c r="AJ970" s="46"/>
      <c r="AK970" s="47"/>
      <c r="AL970" s="383"/>
      <c r="AM970" s="383"/>
      <c r="AN970" s="383"/>
    </row>
    <row r="971" spans="15:40" ht="15" customHeight="1" x14ac:dyDescent="0.2">
      <c r="O971" s="322"/>
      <c r="P971" s="323"/>
      <c r="AJ971" s="46"/>
      <c r="AK971" s="47"/>
      <c r="AL971" s="383"/>
      <c r="AM971" s="383"/>
      <c r="AN971" s="383"/>
    </row>
    <row r="972" spans="15:40" ht="15" customHeight="1" x14ac:dyDescent="0.2">
      <c r="O972" s="322"/>
      <c r="P972" s="323"/>
      <c r="AJ972" s="46"/>
      <c r="AK972" s="47"/>
      <c r="AL972" s="383"/>
      <c r="AM972" s="383"/>
      <c r="AN972" s="383"/>
    </row>
    <row r="973" spans="15:40" ht="15" customHeight="1" x14ac:dyDescent="0.2">
      <c r="O973" s="322"/>
      <c r="P973" s="323"/>
      <c r="AJ973" s="46"/>
      <c r="AK973" s="47"/>
      <c r="AL973" s="383"/>
      <c r="AM973" s="383"/>
      <c r="AN973" s="383"/>
    </row>
    <row r="974" spans="15:40" ht="15" customHeight="1" x14ac:dyDescent="0.2">
      <c r="O974" s="322"/>
      <c r="P974" s="323"/>
      <c r="AJ974" s="46"/>
      <c r="AK974" s="47"/>
      <c r="AL974" s="383"/>
      <c r="AM974" s="383"/>
      <c r="AN974" s="383"/>
    </row>
    <row r="975" spans="15:40" ht="15" customHeight="1" x14ac:dyDescent="0.2">
      <c r="O975" s="322"/>
      <c r="P975" s="323"/>
      <c r="AJ975" s="46"/>
      <c r="AK975" s="47"/>
      <c r="AL975" s="383"/>
      <c r="AM975" s="383"/>
      <c r="AN975" s="383"/>
    </row>
    <row r="976" spans="15:40" ht="15" customHeight="1" x14ac:dyDescent="0.2">
      <c r="O976" s="322"/>
      <c r="P976" s="323"/>
      <c r="AJ976" s="46"/>
      <c r="AK976" s="47"/>
      <c r="AL976" s="383"/>
      <c r="AM976" s="383"/>
      <c r="AN976" s="383"/>
    </row>
    <row r="977" spans="15:40" ht="15" customHeight="1" x14ac:dyDescent="0.2">
      <c r="O977" s="322"/>
      <c r="P977" s="323"/>
      <c r="AJ977" s="46"/>
      <c r="AK977" s="47"/>
      <c r="AL977" s="383"/>
      <c r="AM977" s="383"/>
      <c r="AN977" s="383"/>
    </row>
    <row r="978" spans="15:40" ht="15" customHeight="1" x14ac:dyDescent="0.2">
      <c r="O978" s="322"/>
      <c r="P978" s="323"/>
      <c r="AJ978" s="46"/>
      <c r="AK978" s="47"/>
      <c r="AL978" s="383"/>
      <c r="AM978" s="383"/>
      <c r="AN978" s="383"/>
    </row>
    <row r="979" spans="15:40" ht="15" customHeight="1" x14ac:dyDescent="0.2">
      <c r="O979" s="322"/>
      <c r="P979" s="323"/>
      <c r="AJ979" s="46"/>
      <c r="AK979" s="47"/>
      <c r="AL979" s="383"/>
      <c r="AM979" s="383"/>
      <c r="AN979" s="383"/>
    </row>
    <row r="980" spans="15:40" ht="15" customHeight="1" x14ac:dyDescent="0.2">
      <c r="O980" s="322"/>
      <c r="P980" s="323"/>
      <c r="AJ980" s="46"/>
      <c r="AK980" s="47"/>
      <c r="AL980" s="383"/>
      <c r="AM980" s="383"/>
      <c r="AN980" s="383"/>
    </row>
    <row r="981" spans="15:40" ht="15" customHeight="1" x14ac:dyDescent="0.2">
      <c r="O981" s="322"/>
      <c r="P981" s="323"/>
      <c r="AJ981" s="46"/>
      <c r="AK981" s="47"/>
      <c r="AL981" s="383"/>
      <c r="AM981" s="383"/>
      <c r="AN981" s="383"/>
    </row>
    <row r="982" spans="15:40" ht="15" customHeight="1" x14ac:dyDescent="0.2">
      <c r="O982" s="322"/>
      <c r="P982" s="323"/>
      <c r="AJ982" s="46"/>
      <c r="AK982" s="47"/>
      <c r="AL982" s="383"/>
      <c r="AM982" s="383"/>
      <c r="AN982" s="383"/>
    </row>
    <row r="983" spans="15:40" ht="15" customHeight="1" x14ac:dyDescent="0.2">
      <c r="O983" s="322"/>
      <c r="P983" s="323"/>
      <c r="AJ983" s="46"/>
      <c r="AK983" s="47"/>
      <c r="AL983" s="383"/>
      <c r="AM983" s="383"/>
      <c r="AN983" s="383"/>
    </row>
    <row r="984" spans="15:40" ht="15" customHeight="1" x14ac:dyDescent="0.2">
      <c r="O984" s="315"/>
      <c r="P984" s="314"/>
      <c r="AJ984" s="46"/>
      <c r="AK984" s="47"/>
      <c r="AL984" s="383"/>
      <c r="AM984" s="383"/>
      <c r="AN984" s="383"/>
    </row>
    <row r="985" spans="15:40" ht="15" customHeight="1" x14ac:dyDescent="0.2">
      <c r="O985" s="322"/>
      <c r="P985" s="322"/>
      <c r="AJ985" s="46"/>
      <c r="AK985" s="47"/>
      <c r="AL985" s="383"/>
      <c r="AM985" s="383"/>
      <c r="AN985" s="383"/>
    </row>
    <row r="986" spans="15:40" ht="15" customHeight="1" x14ac:dyDescent="0.2">
      <c r="O986" s="322"/>
      <c r="P986" s="322"/>
      <c r="AJ986" s="46"/>
      <c r="AK986" s="47"/>
      <c r="AL986" s="383"/>
      <c r="AM986" s="383"/>
      <c r="AN986" s="383"/>
    </row>
    <row r="987" spans="15:40" ht="15" customHeight="1" x14ac:dyDescent="0.2">
      <c r="O987" s="322"/>
      <c r="P987" s="322"/>
      <c r="AJ987" s="46"/>
      <c r="AK987" s="47"/>
      <c r="AL987" s="383"/>
      <c r="AM987" s="383"/>
      <c r="AN987" s="383"/>
    </row>
    <row r="988" spans="15:40" ht="15" customHeight="1" x14ac:dyDescent="0.2">
      <c r="O988" s="322"/>
      <c r="P988" s="322"/>
      <c r="AJ988" s="46"/>
      <c r="AK988" s="47"/>
      <c r="AL988" s="383"/>
      <c r="AM988" s="383"/>
      <c r="AN988" s="383"/>
    </row>
    <row r="989" spans="15:40" ht="15" customHeight="1" x14ac:dyDescent="0.2">
      <c r="O989" s="322"/>
      <c r="P989" s="322"/>
      <c r="AJ989" s="46"/>
      <c r="AK989" s="47"/>
      <c r="AL989" s="383"/>
      <c r="AM989" s="383"/>
      <c r="AN989" s="383"/>
    </row>
    <row r="990" spans="15:40" ht="15" customHeight="1" x14ac:dyDescent="0.2">
      <c r="O990" s="322"/>
      <c r="P990" s="322"/>
      <c r="AJ990" s="46"/>
      <c r="AK990" s="47"/>
      <c r="AL990" s="383"/>
      <c r="AM990" s="383"/>
      <c r="AN990" s="383"/>
    </row>
    <row r="991" spans="15:40" ht="15" customHeight="1" x14ac:dyDescent="0.2">
      <c r="O991" s="322"/>
      <c r="P991" s="322"/>
      <c r="AJ991" s="46"/>
      <c r="AK991" s="47"/>
      <c r="AL991" s="383"/>
      <c r="AM991" s="383"/>
      <c r="AN991" s="383"/>
    </row>
    <row r="992" spans="15:40" ht="15" customHeight="1" x14ac:dyDescent="0.2">
      <c r="O992" s="322"/>
      <c r="P992" s="322"/>
      <c r="AJ992" s="46"/>
      <c r="AK992" s="47"/>
      <c r="AL992" s="383"/>
      <c r="AM992" s="383"/>
      <c r="AN992" s="383"/>
    </row>
    <row r="993" spans="15:40" ht="15" customHeight="1" x14ac:dyDescent="0.2">
      <c r="O993" s="322"/>
      <c r="P993" s="322"/>
      <c r="AJ993" s="46"/>
      <c r="AK993" s="47"/>
      <c r="AL993" s="383"/>
      <c r="AM993" s="383"/>
      <c r="AN993" s="383"/>
    </row>
    <row r="994" spans="15:40" ht="15" customHeight="1" x14ac:dyDescent="0.2">
      <c r="O994" s="322"/>
      <c r="P994" s="322"/>
      <c r="AJ994" s="46"/>
      <c r="AK994" s="47"/>
      <c r="AL994" s="383"/>
      <c r="AM994" s="383"/>
      <c r="AN994" s="383"/>
    </row>
    <row r="995" spans="15:40" ht="15" customHeight="1" x14ac:dyDescent="0.2">
      <c r="O995" s="322"/>
      <c r="P995" s="322"/>
      <c r="AJ995" s="46"/>
      <c r="AK995" s="47"/>
      <c r="AL995" s="383"/>
      <c r="AM995" s="383"/>
      <c r="AN995" s="383"/>
    </row>
    <row r="996" spans="15:40" ht="15" customHeight="1" x14ac:dyDescent="0.2">
      <c r="O996" s="322"/>
      <c r="P996" s="322"/>
      <c r="AJ996" s="46"/>
      <c r="AK996" s="47"/>
      <c r="AL996" s="383"/>
      <c r="AM996" s="383"/>
      <c r="AN996" s="383"/>
    </row>
    <row r="997" spans="15:40" ht="15" customHeight="1" x14ac:dyDescent="0.2">
      <c r="O997" s="322"/>
      <c r="P997" s="322"/>
      <c r="AJ997" s="46"/>
      <c r="AK997" s="47"/>
      <c r="AL997" s="383"/>
      <c r="AM997" s="383"/>
      <c r="AN997" s="383"/>
    </row>
    <row r="998" spans="15:40" ht="15" customHeight="1" x14ac:dyDescent="0.2">
      <c r="O998" s="322"/>
      <c r="P998" s="322"/>
      <c r="AJ998" s="46"/>
      <c r="AK998" s="47"/>
      <c r="AL998" s="383"/>
      <c r="AM998" s="383"/>
      <c r="AN998" s="383"/>
    </row>
    <row r="999" spans="15:40" ht="15" customHeight="1" x14ac:dyDescent="0.2">
      <c r="O999" s="322"/>
      <c r="P999" s="322"/>
      <c r="AJ999" s="46"/>
      <c r="AK999" s="47"/>
      <c r="AL999" s="383"/>
      <c r="AM999" s="383"/>
      <c r="AN999" s="383"/>
    </row>
    <row r="1000" spans="15:40" ht="15" customHeight="1" x14ac:dyDescent="0.2">
      <c r="O1000" s="322"/>
      <c r="P1000" s="322"/>
      <c r="AJ1000" s="46"/>
      <c r="AK1000" s="47"/>
      <c r="AL1000" s="383"/>
      <c r="AM1000" s="383"/>
      <c r="AN1000" s="383"/>
    </row>
    <row r="1001" spans="15:40" ht="15" customHeight="1" x14ac:dyDescent="0.2">
      <c r="O1001" s="322"/>
      <c r="P1001" s="322"/>
      <c r="AJ1001" s="46"/>
      <c r="AK1001" s="47"/>
      <c r="AL1001" s="383"/>
      <c r="AM1001" s="383"/>
      <c r="AN1001" s="383"/>
    </row>
    <row r="1002" spans="15:40" ht="15" customHeight="1" x14ac:dyDescent="0.2">
      <c r="O1002" s="322"/>
      <c r="P1002" s="322"/>
      <c r="AJ1002" s="46"/>
      <c r="AK1002" s="47"/>
      <c r="AL1002" s="383"/>
      <c r="AM1002" s="383"/>
      <c r="AN1002" s="383"/>
    </row>
    <row r="1003" spans="15:40" ht="15" customHeight="1" x14ac:dyDescent="0.2">
      <c r="O1003" s="322"/>
      <c r="P1003" s="322"/>
      <c r="AJ1003" s="46"/>
      <c r="AK1003" s="47"/>
      <c r="AL1003" s="383"/>
      <c r="AM1003" s="383"/>
      <c r="AN1003" s="383"/>
    </row>
    <row r="1004" spans="15:40" ht="15" customHeight="1" x14ac:dyDescent="0.2">
      <c r="O1004" s="322"/>
      <c r="P1004" s="322"/>
      <c r="AJ1004" s="46"/>
      <c r="AK1004" s="47"/>
      <c r="AL1004" s="383"/>
      <c r="AM1004" s="383"/>
      <c r="AN1004" s="383"/>
    </row>
    <row r="1005" spans="15:40" ht="15" customHeight="1" x14ac:dyDescent="0.2">
      <c r="O1005" s="322"/>
      <c r="P1005" s="322"/>
      <c r="AJ1005" s="46"/>
      <c r="AK1005" s="47"/>
      <c r="AL1005" s="383"/>
      <c r="AM1005" s="383"/>
      <c r="AN1005" s="383"/>
    </row>
    <row r="1006" spans="15:40" ht="15" customHeight="1" x14ac:dyDescent="0.2">
      <c r="O1006" s="322"/>
      <c r="P1006" s="322"/>
      <c r="AJ1006" s="46"/>
      <c r="AK1006" s="47"/>
      <c r="AL1006" s="383"/>
      <c r="AM1006" s="383"/>
      <c r="AN1006" s="383"/>
    </row>
    <row r="1007" spans="15:40" ht="15" customHeight="1" x14ac:dyDescent="0.2">
      <c r="O1007" s="322"/>
      <c r="P1007" s="322"/>
      <c r="AJ1007" s="46"/>
      <c r="AK1007" s="47"/>
      <c r="AL1007" s="383"/>
      <c r="AM1007" s="383"/>
      <c r="AN1007" s="383"/>
    </row>
    <row r="1008" spans="15:40" ht="15" customHeight="1" x14ac:dyDescent="0.2">
      <c r="O1008" s="322"/>
      <c r="P1008" s="322"/>
      <c r="AJ1008" s="46"/>
      <c r="AK1008" s="47"/>
      <c r="AL1008" s="383"/>
      <c r="AM1008" s="383"/>
      <c r="AN1008" s="383"/>
    </row>
    <row r="1009" spans="15:40" ht="15" customHeight="1" x14ac:dyDescent="0.2">
      <c r="O1009" s="322"/>
      <c r="P1009" s="322"/>
      <c r="AJ1009" s="46"/>
      <c r="AK1009" s="47"/>
      <c r="AL1009" s="383"/>
      <c r="AM1009" s="383"/>
      <c r="AN1009" s="383"/>
    </row>
    <row r="1010" spans="15:40" ht="15" customHeight="1" x14ac:dyDescent="0.2">
      <c r="O1010" s="322"/>
      <c r="P1010" s="322"/>
      <c r="AJ1010" s="46"/>
      <c r="AK1010" s="47"/>
      <c r="AL1010" s="383"/>
      <c r="AM1010" s="383"/>
      <c r="AN1010" s="383"/>
    </row>
    <row r="1011" spans="15:40" ht="15" customHeight="1" x14ac:dyDescent="0.2">
      <c r="O1011" s="322"/>
      <c r="P1011" s="322"/>
      <c r="AJ1011" s="46"/>
      <c r="AK1011" s="47"/>
      <c r="AL1011" s="383"/>
      <c r="AM1011" s="383"/>
      <c r="AN1011" s="383"/>
    </row>
    <row r="1012" spans="15:40" ht="15" customHeight="1" x14ac:dyDescent="0.2">
      <c r="O1012" s="322"/>
      <c r="P1012" s="322"/>
      <c r="AJ1012" s="46"/>
      <c r="AK1012" s="47"/>
      <c r="AL1012" s="383"/>
      <c r="AM1012" s="383"/>
      <c r="AN1012" s="383"/>
    </row>
    <row r="1013" spans="15:40" ht="15" customHeight="1" x14ac:dyDescent="0.2">
      <c r="O1013" s="322"/>
      <c r="P1013" s="322"/>
      <c r="AJ1013" s="46"/>
      <c r="AK1013" s="47"/>
      <c r="AL1013" s="383"/>
      <c r="AM1013" s="383"/>
      <c r="AN1013" s="383"/>
    </row>
    <row r="1014" spans="15:40" ht="15" customHeight="1" x14ac:dyDescent="0.2">
      <c r="O1014" s="322"/>
      <c r="P1014" s="322"/>
      <c r="AJ1014" s="46"/>
      <c r="AK1014" s="47"/>
      <c r="AL1014" s="383"/>
      <c r="AM1014" s="383"/>
      <c r="AN1014" s="383"/>
    </row>
    <row r="1015" spans="15:40" ht="15" customHeight="1" x14ac:dyDescent="0.2">
      <c r="O1015" s="322"/>
      <c r="P1015" s="322"/>
      <c r="AJ1015" s="46"/>
      <c r="AK1015" s="47"/>
      <c r="AL1015" s="383"/>
      <c r="AM1015" s="383"/>
      <c r="AN1015" s="383"/>
    </row>
    <row r="1016" spans="15:40" ht="15" customHeight="1" x14ac:dyDescent="0.2">
      <c r="O1016" s="322"/>
      <c r="P1016" s="322"/>
      <c r="AJ1016" s="46"/>
      <c r="AK1016" s="47"/>
      <c r="AL1016" s="383"/>
      <c r="AM1016" s="383"/>
      <c r="AN1016" s="383"/>
    </row>
    <row r="1017" spans="15:40" ht="15" customHeight="1" x14ac:dyDescent="0.2">
      <c r="O1017" s="322"/>
      <c r="P1017" s="322"/>
      <c r="AJ1017" s="46"/>
      <c r="AK1017" s="47"/>
      <c r="AL1017" s="383"/>
      <c r="AM1017" s="383"/>
      <c r="AN1017" s="383"/>
    </row>
    <row r="1018" spans="15:40" ht="15" customHeight="1" x14ac:dyDescent="0.2">
      <c r="O1018" s="322"/>
      <c r="P1018" s="322"/>
      <c r="AJ1018" s="46"/>
      <c r="AK1018" s="47"/>
      <c r="AL1018" s="383"/>
      <c r="AM1018" s="383"/>
      <c r="AN1018" s="383"/>
    </row>
    <row r="1019" spans="15:40" ht="15" customHeight="1" x14ac:dyDescent="0.2">
      <c r="O1019" s="322"/>
      <c r="P1019" s="322"/>
      <c r="AJ1019" s="46"/>
      <c r="AK1019" s="47"/>
      <c r="AL1019" s="383"/>
      <c r="AM1019" s="383"/>
      <c r="AN1019" s="383"/>
    </row>
    <row r="1020" spans="15:40" ht="15" customHeight="1" x14ac:dyDescent="0.2">
      <c r="O1020" s="322"/>
      <c r="P1020" s="322"/>
      <c r="AJ1020" s="46"/>
      <c r="AK1020" s="47"/>
      <c r="AL1020" s="383"/>
      <c r="AM1020" s="383"/>
      <c r="AN1020" s="383"/>
    </row>
    <row r="1021" spans="15:40" ht="15" customHeight="1" x14ac:dyDescent="0.2">
      <c r="O1021" s="322"/>
      <c r="P1021" s="322"/>
      <c r="AJ1021" s="46"/>
      <c r="AK1021" s="47"/>
      <c r="AL1021" s="383"/>
      <c r="AM1021" s="383"/>
      <c r="AN1021" s="383"/>
    </row>
    <row r="1022" spans="15:40" ht="15" customHeight="1" x14ac:dyDescent="0.2">
      <c r="O1022" s="322"/>
      <c r="P1022" s="322"/>
      <c r="AJ1022" s="46"/>
      <c r="AK1022" s="47"/>
      <c r="AL1022" s="383"/>
      <c r="AM1022" s="383"/>
      <c r="AN1022" s="383"/>
    </row>
    <row r="1023" spans="15:40" ht="15" customHeight="1" x14ac:dyDescent="0.2">
      <c r="O1023" s="322"/>
      <c r="P1023" s="322"/>
      <c r="AJ1023" s="46"/>
      <c r="AK1023" s="47"/>
      <c r="AL1023" s="383"/>
      <c r="AM1023" s="383"/>
      <c r="AN1023" s="383"/>
    </row>
    <row r="1024" spans="15:40" ht="15" customHeight="1" x14ac:dyDescent="0.2">
      <c r="O1024" s="322"/>
      <c r="P1024" s="322"/>
      <c r="AJ1024" s="46"/>
      <c r="AK1024" s="47"/>
      <c r="AL1024" s="383"/>
      <c r="AM1024" s="383"/>
      <c r="AN1024" s="383"/>
    </row>
    <row r="1025" spans="15:40" ht="15" customHeight="1" x14ac:dyDescent="0.2">
      <c r="O1025" s="322"/>
      <c r="P1025" s="322"/>
      <c r="AJ1025" s="46"/>
      <c r="AK1025" s="47"/>
      <c r="AL1025" s="383"/>
      <c r="AM1025" s="383"/>
      <c r="AN1025" s="383"/>
    </row>
    <row r="1026" spans="15:40" ht="15" customHeight="1" x14ac:dyDescent="0.2">
      <c r="O1026" s="322"/>
      <c r="P1026" s="322"/>
      <c r="AJ1026" s="46"/>
      <c r="AK1026" s="47"/>
      <c r="AL1026" s="383"/>
      <c r="AM1026" s="383"/>
      <c r="AN1026" s="383"/>
    </row>
    <row r="1027" spans="15:40" ht="15" customHeight="1" x14ac:dyDescent="0.2">
      <c r="O1027" s="322"/>
      <c r="P1027" s="322"/>
      <c r="AJ1027" s="46"/>
      <c r="AK1027" s="47"/>
      <c r="AL1027" s="383"/>
      <c r="AM1027" s="383"/>
      <c r="AN1027" s="383"/>
    </row>
    <row r="1028" spans="15:40" ht="15" customHeight="1" x14ac:dyDescent="0.2">
      <c r="O1028" s="322"/>
      <c r="P1028" s="322"/>
      <c r="AJ1028" s="46"/>
      <c r="AK1028" s="47"/>
      <c r="AL1028" s="383"/>
      <c r="AM1028" s="383"/>
      <c r="AN1028" s="383"/>
    </row>
    <row r="1029" spans="15:40" ht="15" customHeight="1" x14ac:dyDescent="0.2">
      <c r="O1029" s="322"/>
      <c r="P1029" s="322"/>
      <c r="AJ1029" s="46"/>
      <c r="AK1029" s="47"/>
      <c r="AL1029" s="383"/>
      <c r="AM1029" s="383"/>
      <c r="AN1029" s="383"/>
    </row>
    <row r="1030" spans="15:40" ht="15" customHeight="1" x14ac:dyDescent="0.2">
      <c r="O1030" s="322"/>
      <c r="P1030" s="322"/>
      <c r="AJ1030" s="46"/>
      <c r="AK1030" s="47"/>
      <c r="AL1030" s="383"/>
      <c r="AM1030" s="383"/>
      <c r="AN1030" s="383"/>
    </row>
    <row r="1031" spans="15:40" ht="15" customHeight="1" x14ac:dyDescent="0.2">
      <c r="O1031" s="322"/>
      <c r="P1031" s="322"/>
      <c r="AJ1031" s="46"/>
      <c r="AK1031" s="47"/>
      <c r="AL1031" s="383"/>
      <c r="AM1031" s="383"/>
      <c r="AN1031" s="383"/>
    </row>
    <row r="1032" spans="15:40" ht="15" customHeight="1" x14ac:dyDescent="0.2">
      <c r="O1032" s="322"/>
      <c r="P1032" s="322"/>
      <c r="AJ1032" s="46"/>
      <c r="AK1032" s="47"/>
      <c r="AL1032" s="383"/>
      <c r="AM1032" s="383"/>
      <c r="AN1032" s="383"/>
    </row>
    <row r="1033" spans="15:40" ht="15" customHeight="1" x14ac:dyDescent="0.2">
      <c r="O1033" s="322"/>
      <c r="P1033" s="322"/>
      <c r="AJ1033" s="46"/>
      <c r="AK1033" s="47"/>
      <c r="AL1033" s="383"/>
      <c r="AM1033" s="383"/>
      <c r="AN1033" s="383"/>
    </row>
    <row r="1034" spans="15:40" ht="15" customHeight="1" x14ac:dyDescent="0.2">
      <c r="O1034" s="322"/>
      <c r="P1034" s="322"/>
      <c r="AJ1034" s="46"/>
      <c r="AK1034" s="47"/>
      <c r="AL1034" s="383"/>
      <c r="AM1034" s="383"/>
      <c r="AN1034" s="383"/>
    </row>
    <row r="1035" spans="15:40" ht="15" customHeight="1" x14ac:dyDescent="0.2">
      <c r="O1035" s="322"/>
      <c r="P1035" s="322"/>
      <c r="AJ1035" s="46"/>
      <c r="AK1035" s="47"/>
      <c r="AL1035" s="383"/>
      <c r="AM1035" s="383"/>
      <c r="AN1035" s="383"/>
    </row>
    <row r="1036" spans="15:40" ht="15" customHeight="1" x14ac:dyDescent="0.2">
      <c r="O1036" s="322"/>
      <c r="P1036" s="322"/>
      <c r="AJ1036" s="46"/>
      <c r="AK1036" s="47"/>
      <c r="AL1036" s="383"/>
      <c r="AM1036" s="383"/>
      <c r="AN1036" s="383"/>
    </row>
    <row r="1037" spans="15:40" ht="15" customHeight="1" x14ac:dyDescent="0.2">
      <c r="O1037" s="322"/>
      <c r="P1037" s="322"/>
      <c r="AJ1037" s="46"/>
      <c r="AK1037" s="47"/>
      <c r="AL1037" s="383"/>
      <c r="AM1037" s="383"/>
      <c r="AN1037" s="383"/>
    </row>
    <row r="1038" spans="15:40" ht="15" customHeight="1" x14ac:dyDescent="0.2">
      <c r="O1038" s="322"/>
      <c r="P1038" s="322"/>
      <c r="AJ1038" s="46"/>
      <c r="AK1038" s="47"/>
      <c r="AL1038" s="383"/>
      <c r="AM1038" s="383"/>
      <c r="AN1038" s="383"/>
    </row>
    <row r="1039" spans="15:40" ht="15" customHeight="1" x14ac:dyDescent="0.2">
      <c r="O1039" s="322"/>
      <c r="P1039" s="322"/>
      <c r="AJ1039" s="46"/>
      <c r="AK1039" s="47"/>
      <c r="AL1039" s="383"/>
      <c r="AM1039" s="383"/>
      <c r="AN1039" s="383"/>
    </row>
    <row r="1040" spans="15:40" ht="15" customHeight="1" x14ac:dyDescent="0.2">
      <c r="O1040" s="322"/>
      <c r="P1040" s="322"/>
      <c r="AJ1040" s="46"/>
      <c r="AK1040" s="47"/>
      <c r="AL1040" s="383"/>
      <c r="AM1040" s="383"/>
      <c r="AN1040" s="383"/>
    </row>
    <row r="1041" spans="15:40" ht="15" customHeight="1" x14ac:dyDescent="0.2">
      <c r="O1041" s="322"/>
      <c r="P1041" s="322"/>
      <c r="AJ1041" s="46"/>
      <c r="AK1041" s="47"/>
      <c r="AL1041" s="383"/>
      <c r="AM1041" s="383"/>
      <c r="AN1041" s="383"/>
    </row>
    <row r="1042" spans="15:40" ht="15" customHeight="1" x14ac:dyDescent="0.2">
      <c r="O1042" s="322"/>
      <c r="P1042" s="322"/>
      <c r="AJ1042" s="46"/>
      <c r="AK1042" s="47"/>
      <c r="AL1042" s="383"/>
      <c r="AM1042" s="383"/>
      <c r="AN1042" s="383"/>
    </row>
    <row r="1043" spans="15:40" ht="15" customHeight="1" x14ac:dyDescent="0.2">
      <c r="O1043" s="322"/>
      <c r="P1043" s="322"/>
      <c r="AJ1043" s="46"/>
      <c r="AK1043" s="47"/>
      <c r="AL1043" s="383"/>
      <c r="AM1043" s="383"/>
      <c r="AN1043" s="383"/>
    </row>
    <row r="1044" spans="15:40" ht="15" customHeight="1" x14ac:dyDescent="0.2">
      <c r="O1044" s="322"/>
      <c r="P1044" s="322"/>
      <c r="AJ1044" s="46"/>
      <c r="AK1044" s="47"/>
      <c r="AL1044" s="383"/>
      <c r="AM1044" s="383"/>
      <c r="AN1044" s="383"/>
    </row>
    <row r="1045" spans="15:40" ht="15" customHeight="1" x14ac:dyDescent="0.2">
      <c r="O1045" s="322"/>
      <c r="P1045" s="322"/>
      <c r="AJ1045" s="46"/>
      <c r="AK1045" s="47"/>
      <c r="AL1045" s="383"/>
      <c r="AM1045" s="383"/>
      <c r="AN1045" s="383"/>
    </row>
    <row r="1046" spans="15:40" ht="15" customHeight="1" x14ac:dyDescent="0.2">
      <c r="O1046" s="322"/>
      <c r="P1046" s="322"/>
      <c r="AJ1046" s="46"/>
      <c r="AK1046" s="47"/>
      <c r="AL1046" s="383"/>
      <c r="AM1046" s="383"/>
      <c r="AN1046" s="383"/>
    </row>
    <row r="1047" spans="15:40" ht="15" customHeight="1" x14ac:dyDescent="0.2">
      <c r="O1047" s="322"/>
      <c r="P1047" s="322"/>
      <c r="AJ1047" s="46"/>
      <c r="AK1047" s="47"/>
      <c r="AL1047" s="383"/>
      <c r="AM1047" s="383"/>
      <c r="AN1047" s="383"/>
    </row>
    <row r="1048" spans="15:40" ht="15" customHeight="1" x14ac:dyDescent="0.2">
      <c r="O1048" s="322"/>
      <c r="P1048" s="322"/>
      <c r="AJ1048" s="46"/>
      <c r="AK1048" s="47"/>
      <c r="AL1048" s="383"/>
      <c r="AM1048" s="383"/>
      <c r="AN1048" s="383"/>
    </row>
    <row r="1049" spans="15:40" ht="15" customHeight="1" x14ac:dyDescent="0.2">
      <c r="O1049" s="322"/>
      <c r="P1049" s="322"/>
      <c r="AJ1049" s="46"/>
      <c r="AK1049" s="47"/>
      <c r="AL1049" s="383"/>
      <c r="AM1049" s="383"/>
      <c r="AN1049" s="383"/>
    </row>
    <row r="1050" spans="15:40" ht="15" customHeight="1" x14ac:dyDescent="0.2">
      <c r="O1050" s="322"/>
      <c r="P1050" s="322"/>
      <c r="AJ1050" s="46"/>
      <c r="AK1050" s="47"/>
      <c r="AL1050" s="383"/>
      <c r="AM1050" s="383"/>
      <c r="AN1050" s="383"/>
    </row>
    <row r="1051" spans="15:40" ht="15" customHeight="1" x14ac:dyDescent="0.2">
      <c r="O1051" s="322"/>
      <c r="P1051" s="322"/>
      <c r="AJ1051" s="46"/>
      <c r="AK1051" s="47"/>
      <c r="AL1051" s="383"/>
      <c r="AM1051" s="383"/>
      <c r="AN1051" s="383"/>
    </row>
    <row r="1052" spans="15:40" ht="15" customHeight="1" x14ac:dyDescent="0.2">
      <c r="O1052" s="322"/>
      <c r="P1052" s="322"/>
      <c r="AJ1052" s="46"/>
      <c r="AK1052" s="47"/>
      <c r="AL1052" s="383"/>
      <c r="AM1052" s="383"/>
      <c r="AN1052" s="383"/>
    </row>
    <row r="1053" spans="15:40" ht="15" customHeight="1" x14ac:dyDescent="0.2">
      <c r="O1053" s="322"/>
      <c r="P1053" s="322"/>
      <c r="AJ1053" s="46"/>
      <c r="AK1053" s="47"/>
      <c r="AL1053" s="383"/>
      <c r="AM1053" s="383"/>
      <c r="AN1053" s="383"/>
    </row>
    <row r="1054" spans="15:40" ht="15" customHeight="1" x14ac:dyDescent="0.2">
      <c r="O1054" s="322"/>
      <c r="P1054" s="322"/>
      <c r="AJ1054" s="46"/>
      <c r="AK1054" s="47"/>
      <c r="AL1054" s="383"/>
      <c r="AM1054" s="383"/>
      <c r="AN1054" s="383"/>
    </row>
    <row r="1055" spans="15:40" ht="15" customHeight="1" x14ac:dyDescent="0.2">
      <c r="O1055" s="322"/>
      <c r="P1055" s="322"/>
      <c r="AJ1055" s="46"/>
      <c r="AK1055" s="47"/>
      <c r="AL1055" s="383"/>
      <c r="AM1055" s="383"/>
      <c r="AN1055" s="383"/>
    </row>
    <row r="1056" spans="15:40" ht="15" customHeight="1" x14ac:dyDescent="0.2">
      <c r="O1056" s="322"/>
      <c r="P1056" s="322"/>
      <c r="AJ1056" s="46"/>
      <c r="AK1056" s="47"/>
      <c r="AL1056" s="383"/>
      <c r="AM1056" s="383"/>
      <c r="AN1056" s="383"/>
    </row>
    <row r="1057" spans="15:40" ht="15" customHeight="1" x14ac:dyDescent="0.2">
      <c r="O1057" s="322"/>
      <c r="P1057" s="322"/>
      <c r="AJ1057" s="46"/>
      <c r="AK1057" s="47"/>
      <c r="AL1057" s="383"/>
      <c r="AM1057" s="383"/>
      <c r="AN1057" s="383"/>
    </row>
    <row r="1058" spans="15:40" ht="15" customHeight="1" x14ac:dyDescent="0.2">
      <c r="O1058" s="322"/>
      <c r="P1058" s="322"/>
      <c r="AJ1058" s="46"/>
      <c r="AK1058" s="47"/>
      <c r="AL1058" s="383"/>
      <c r="AM1058" s="383"/>
      <c r="AN1058" s="383"/>
    </row>
    <row r="1059" spans="15:40" ht="15" customHeight="1" x14ac:dyDescent="0.2">
      <c r="O1059" s="322"/>
      <c r="P1059" s="322"/>
      <c r="AJ1059" s="46"/>
      <c r="AK1059" s="47"/>
      <c r="AL1059" s="383"/>
      <c r="AM1059" s="383"/>
      <c r="AN1059" s="383"/>
    </row>
    <row r="1060" spans="15:40" ht="15" customHeight="1" x14ac:dyDescent="0.2">
      <c r="O1060" s="322"/>
      <c r="P1060" s="322"/>
      <c r="AJ1060" s="46"/>
      <c r="AK1060" s="47"/>
      <c r="AL1060" s="383"/>
      <c r="AM1060" s="383"/>
      <c r="AN1060" s="383"/>
    </row>
    <row r="1061" spans="15:40" ht="15" customHeight="1" x14ac:dyDescent="0.2">
      <c r="O1061" s="322"/>
      <c r="P1061" s="322"/>
      <c r="AJ1061" s="46"/>
      <c r="AK1061" s="47"/>
      <c r="AL1061" s="383"/>
      <c r="AM1061" s="383"/>
      <c r="AN1061" s="383"/>
    </row>
    <row r="1062" spans="15:40" ht="15" customHeight="1" x14ac:dyDescent="0.2">
      <c r="O1062" s="322"/>
      <c r="P1062" s="322"/>
      <c r="AJ1062" s="46"/>
      <c r="AK1062" s="47"/>
      <c r="AL1062" s="383"/>
      <c r="AM1062" s="383"/>
      <c r="AN1062" s="383"/>
    </row>
    <row r="1063" spans="15:40" ht="15" customHeight="1" x14ac:dyDescent="0.2">
      <c r="O1063" s="322"/>
      <c r="P1063" s="322"/>
      <c r="AJ1063" s="46"/>
      <c r="AK1063" s="47"/>
      <c r="AL1063" s="383"/>
      <c r="AM1063" s="383"/>
      <c r="AN1063" s="383"/>
    </row>
    <row r="1064" spans="15:40" ht="15" customHeight="1" x14ac:dyDescent="0.2">
      <c r="O1064" s="322"/>
      <c r="P1064" s="322"/>
      <c r="AJ1064" s="46"/>
      <c r="AK1064" s="47"/>
      <c r="AL1064" s="383"/>
      <c r="AM1064" s="383"/>
      <c r="AN1064" s="383"/>
    </row>
    <row r="1065" spans="15:40" ht="15" customHeight="1" x14ac:dyDescent="0.2">
      <c r="O1065" s="322"/>
      <c r="P1065" s="322"/>
      <c r="AJ1065" s="46"/>
      <c r="AK1065" s="47"/>
      <c r="AL1065" s="383"/>
      <c r="AM1065" s="383"/>
      <c r="AN1065" s="383"/>
    </row>
    <row r="1066" spans="15:40" ht="15" customHeight="1" x14ac:dyDescent="0.2">
      <c r="O1066" s="322"/>
      <c r="P1066" s="322"/>
      <c r="AJ1066" s="46"/>
      <c r="AK1066" s="47"/>
      <c r="AL1066" s="383"/>
      <c r="AM1066" s="383"/>
      <c r="AN1066" s="383"/>
    </row>
    <row r="1067" spans="15:40" ht="15" customHeight="1" x14ac:dyDescent="0.2">
      <c r="O1067" s="322"/>
      <c r="P1067" s="322"/>
      <c r="AJ1067" s="46"/>
      <c r="AK1067" s="47"/>
      <c r="AL1067" s="383"/>
      <c r="AM1067" s="383"/>
      <c r="AN1067" s="383"/>
    </row>
    <row r="1068" spans="15:40" ht="15" customHeight="1" x14ac:dyDescent="0.2">
      <c r="O1068" s="322"/>
      <c r="P1068" s="322"/>
      <c r="AJ1068" s="46"/>
      <c r="AK1068" s="47"/>
      <c r="AL1068" s="383"/>
      <c r="AM1068" s="383"/>
      <c r="AN1068" s="383"/>
    </row>
    <row r="1069" spans="15:40" ht="15" customHeight="1" x14ac:dyDescent="0.2">
      <c r="O1069" s="322"/>
      <c r="P1069" s="322"/>
      <c r="AJ1069" s="46"/>
      <c r="AK1069" s="47"/>
      <c r="AL1069" s="383"/>
      <c r="AM1069" s="383"/>
      <c r="AN1069" s="383"/>
    </row>
    <row r="1070" spans="15:40" ht="15" customHeight="1" x14ac:dyDescent="0.2">
      <c r="O1070" s="322"/>
      <c r="P1070" s="322"/>
      <c r="AJ1070" s="46"/>
      <c r="AK1070" s="47"/>
      <c r="AL1070" s="383"/>
      <c r="AM1070" s="383"/>
      <c r="AN1070" s="383"/>
    </row>
    <row r="1071" spans="15:40" ht="15" customHeight="1" x14ac:dyDescent="0.2">
      <c r="O1071" s="322"/>
      <c r="P1071" s="322"/>
      <c r="AJ1071" s="46"/>
      <c r="AK1071" s="47"/>
      <c r="AL1071" s="383"/>
      <c r="AM1071" s="383"/>
      <c r="AN1071" s="383"/>
    </row>
    <row r="1072" spans="15:40" ht="15" customHeight="1" x14ac:dyDescent="0.2">
      <c r="O1072" s="322"/>
      <c r="P1072" s="322"/>
      <c r="AJ1072" s="46"/>
      <c r="AK1072" s="47"/>
      <c r="AL1072" s="383"/>
      <c r="AM1072" s="383"/>
      <c r="AN1072" s="383"/>
    </row>
    <row r="1073" spans="15:40" ht="15" customHeight="1" x14ac:dyDescent="0.2">
      <c r="O1073" s="322"/>
      <c r="P1073" s="322"/>
      <c r="AJ1073" s="46"/>
      <c r="AK1073" s="47"/>
      <c r="AL1073" s="383"/>
      <c r="AM1073" s="383"/>
      <c r="AN1073" s="383"/>
    </row>
    <row r="1074" spans="15:40" ht="15" customHeight="1" x14ac:dyDescent="0.2">
      <c r="O1074" s="322"/>
      <c r="P1074" s="322"/>
      <c r="AJ1074" s="46"/>
      <c r="AK1074" s="47"/>
      <c r="AL1074" s="383"/>
      <c r="AM1074" s="383"/>
      <c r="AN1074" s="383"/>
    </row>
    <row r="1075" spans="15:40" ht="15" customHeight="1" x14ac:dyDescent="0.2">
      <c r="O1075" s="322"/>
      <c r="P1075" s="322"/>
      <c r="AJ1075" s="46"/>
      <c r="AK1075" s="47"/>
      <c r="AL1075" s="383"/>
      <c r="AM1075" s="383"/>
      <c r="AN1075" s="383"/>
    </row>
    <row r="1076" spans="15:40" ht="15" customHeight="1" x14ac:dyDescent="0.2">
      <c r="O1076" s="322"/>
      <c r="P1076" s="322"/>
      <c r="AJ1076" s="46"/>
      <c r="AK1076" s="47"/>
      <c r="AL1076" s="383"/>
      <c r="AM1076" s="383"/>
      <c r="AN1076" s="383"/>
    </row>
    <row r="1077" spans="15:40" ht="15" customHeight="1" x14ac:dyDescent="0.2">
      <c r="O1077" s="322"/>
      <c r="P1077" s="322"/>
      <c r="AJ1077" s="46"/>
      <c r="AK1077" s="47"/>
      <c r="AL1077" s="383"/>
      <c r="AM1077" s="383"/>
      <c r="AN1077" s="383"/>
    </row>
    <row r="1078" spans="15:40" ht="15" customHeight="1" x14ac:dyDescent="0.2">
      <c r="O1078" s="322"/>
      <c r="P1078" s="322"/>
      <c r="AJ1078" s="46"/>
      <c r="AK1078" s="47"/>
      <c r="AL1078" s="383"/>
      <c r="AM1078" s="383"/>
      <c r="AN1078" s="383"/>
    </row>
    <row r="1079" spans="15:40" ht="15" customHeight="1" x14ac:dyDescent="0.2">
      <c r="O1079" s="322"/>
      <c r="P1079" s="322"/>
      <c r="AJ1079" s="46"/>
      <c r="AK1079" s="47"/>
      <c r="AL1079" s="383"/>
      <c r="AM1079" s="383"/>
      <c r="AN1079" s="383"/>
    </row>
    <row r="1080" spans="15:40" ht="15" customHeight="1" x14ac:dyDescent="0.2">
      <c r="O1080" s="322"/>
      <c r="P1080" s="322"/>
      <c r="AJ1080" s="46"/>
      <c r="AK1080" s="47"/>
      <c r="AL1080" s="383"/>
      <c r="AM1080" s="383"/>
      <c r="AN1080" s="383"/>
    </row>
    <row r="1081" spans="15:40" ht="15" customHeight="1" x14ac:dyDescent="0.2">
      <c r="O1081" s="322"/>
      <c r="P1081" s="322"/>
      <c r="AJ1081" s="46"/>
      <c r="AK1081" s="47"/>
      <c r="AL1081" s="383"/>
      <c r="AM1081" s="383"/>
      <c r="AN1081" s="383"/>
    </row>
    <row r="1082" spans="15:40" ht="15" customHeight="1" x14ac:dyDescent="0.2">
      <c r="O1082" s="322"/>
      <c r="P1082" s="322"/>
      <c r="AJ1082" s="46"/>
      <c r="AK1082" s="47"/>
      <c r="AL1082" s="383"/>
      <c r="AM1082" s="383"/>
      <c r="AN1082" s="383"/>
    </row>
    <row r="1083" spans="15:40" ht="15" customHeight="1" x14ac:dyDescent="0.2">
      <c r="O1083" s="322"/>
      <c r="P1083" s="322"/>
      <c r="AJ1083" s="46"/>
      <c r="AK1083" s="47"/>
      <c r="AL1083" s="383"/>
      <c r="AM1083" s="383"/>
      <c r="AN1083" s="383"/>
    </row>
    <row r="1084" spans="15:40" ht="15" customHeight="1" x14ac:dyDescent="0.2">
      <c r="O1084" s="322"/>
      <c r="P1084" s="322"/>
      <c r="AJ1084" s="46"/>
      <c r="AK1084" s="47"/>
      <c r="AL1084" s="383"/>
      <c r="AM1084" s="383"/>
      <c r="AN1084" s="383"/>
    </row>
    <row r="1085" spans="15:40" ht="15" customHeight="1" x14ac:dyDescent="0.2">
      <c r="O1085" s="322"/>
      <c r="P1085" s="322"/>
      <c r="AJ1085" s="46"/>
      <c r="AK1085" s="47"/>
      <c r="AL1085" s="383"/>
      <c r="AM1085" s="383"/>
      <c r="AN1085" s="383"/>
    </row>
    <row r="1086" spans="15:40" ht="15" customHeight="1" x14ac:dyDescent="0.2">
      <c r="O1086" s="322"/>
      <c r="P1086" s="322"/>
      <c r="AJ1086" s="46"/>
      <c r="AK1086" s="47"/>
      <c r="AL1086" s="383"/>
      <c r="AM1086" s="383"/>
      <c r="AN1086" s="383"/>
    </row>
    <row r="1087" spans="15:40" ht="15" customHeight="1" x14ac:dyDescent="0.2">
      <c r="O1087" s="322"/>
      <c r="P1087" s="322"/>
      <c r="AJ1087" s="46"/>
      <c r="AK1087" s="47"/>
      <c r="AL1087" s="383"/>
      <c r="AM1087" s="383"/>
      <c r="AN1087" s="383"/>
    </row>
    <row r="1088" spans="15:40" ht="15" customHeight="1" x14ac:dyDescent="0.2">
      <c r="O1088" s="322"/>
      <c r="P1088" s="322"/>
      <c r="AJ1088" s="46"/>
      <c r="AK1088" s="47"/>
      <c r="AL1088" s="383"/>
      <c r="AM1088" s="383"/>
      <c r="AN1088" s="383"/>
    </row>
    <row r="1089" spans="15:40" ht="15" customHeight="1" x14ac:dyDescent="0.2">
      <c r="O1089" s="322"/>
      <c r="P1089" s="322"/>
      <c r="AJ1089" s="46"/>
      <c r="AK1089" s="47"/>
      <c r="AL1089" s="383"/>
      <c r="AM1089" s="383"/>
      <c r="AN1089" s="383"/>
    </row>
    <row r="1090" spans="15:40" ht="15" customHeight="1" x14ac:dyDescent="0.2">
      <c r="O1090" s="322"/>
      <c r="P1090" s="322"/>
      <c r="AJ1090" s="46"/>
      <c r="AK1090" s="47"/>
      <c r="AL1090" s="383"/>
      <c r="AM1090" s="383"/>
      <c r="AN1090" s="383"/>
    </row>
    <row r="1091" spans="15:40" ht="15" customHeight="1" x14ac:dyDescent="0.2">
      <c r="O1091" s="322"/>
      <c r="P1091" s="322"/>
      <c r="AJ1091" s="46"/>
      <c r="AK1091" s="47"/>
      <c r="AL1091" s="383"/>
      <c r="AM1091" s="383"/>
      <c r="AN1091" s="383"/>
    </row>
    <row r="1092" spans="15:40" ht="15" customHeight="1" x14ac:dyDescent="0.2">
      <c r="O1092" s="322"/>
      <c r="P1092" s="322"/>
      <c r="AJ1092" s="46"/>
      <c r="AK1092" s="47"/>
      <c r="AL1092" s="383"/>
      <c r="AM1092" s="383"/>
      <c r="AN1092" s="383"/>
    </row>
    <row r="1093" spans="15:40" ht="15" customHeight="1" x14ac:dyDescent="0.2">
      <c r="O1093" s="322"/>
      <c r="P1093" s="322"/>
      <c r="AJ1093" s="46"/>
      <c r="AK1093" s="47"/>
      <c r="AL1093" s="383"/>
      <c r="AM1093" s="383"/>
      <c r="AN1093" s="383"/>
    </row>
    <row r="1094" spans="15:40" ht="15" customHeight="1" x14ac:dyDescent="0.2">
      <c r="O1094" s="322"/>
      <c r="P1094" s="322"/>
      <c r="AJ1094" s="46"/>
      <c r="AK1094" s="47"/>
      <c r="AL1094" s="383"/>
      <c r="AM1094" s="383"/>
      <c r="AN1094" s="383"/>
    </row>
    <row r="1095" spans="15:40" ht="15" customHeight="1" x14ac:dyDescent="0.2">
      <c r="O1095" s="322"/>
      <c r="P1095" s="322"/>
      <c r="AJ1095" s="46"/>
      <c r="AK1095" s="47"/>
      <c r="AL1095" s="383"/>
      <c r="AM1095" s="383"/>
      <c r="AN1095" s="383"/>
    </row>
    <row r="1096" spans="15:40" ht="15" customHeight="1" x14ac:dyDescent="0.2">
      <c r="O1096" s="322"/>
      <c r="P1096" s="322"/>
      <c r="AJ1096" s="46"/>
      <c r="AK1096" s="47"/>
      <c r="AL1096" s="383"/>
      <c r="AM1096" s="383"/>
      <c r="AN1096" s="383"/>
    </row>
    <row r="1097" spans="15:40" ht="15" customHeight="1" x14ac:dyDescent="0.2">
      <c r="O1097" s="322"/>
      <c r="P1097" s="322"/>
      <c r="AJ1097" s="46"/>
      <c r="AK1097" s="47"/>
      <c r="AL1097" s="383"/>
      <c r="AM1097" s="383"/>
      <c r="AN1097" s="383"/>
    </row>
    <row r="1098" spans="15:40" ht="15" customHeight="1" x14ac:dyDescent="0.2">
      <c r="O1098" s="322"/>
      <c r="P1098" s="322"/>
      <c r="AJ1098" s="46"/>
      <c r="AK1098" s="47"/>
      <c r="AL1098" s="383"/>
      <c r="AM1098" s="383"/>
      <c r="AN1098" s="383"/>
    </row>
    <row r="1099" spans="15:40" ht="15" customHeight="1" x14ac:dyDescent="0.2">
      <c r="O1099" s="322"/>
      <c r="P1099" s="322"/>
      <c r="AJ1099" s="46"/>
      <c r="AK1099" s="47"/>
      <c r="AL1099" s="383"/>
      <c r="AM1099" s="383"/>
      <c r="AN1099" s="383"/>
    </row>
    <row r="1100" spans="15:40" ht="15" customHeight="1" x14ac:dyDescent="0.2">
      <c r="O1100" s="322"/>
      <c r="P1100" s="322"/>
      <c r="AJ1100" s="46"/>
      <c r="AK1100" s="47"/>
      <c r="AL1100" s="383"/>
      <c r="AM1100" s="383"/>
      <c r="AN1100" s="383"/>
    </row>
    <row r="1101" spans="15:40" ht="15" customHeight="1" x14ac:dyDescent="0.2">
      <c r="O1101" s="322"/>
      <c r="P1101" s="322"/>
      <c r="AJ1101" s="46"/>
      <c r="AK1101" s="47"/>
      <c r="AL1101" s="383"/>
      <c r="AM1101" s="383"/>
      <c r="AN1101" s="383"/>
    </row>
    <row r="1102" spans="15:40" ht="15" customHeight="1" x14ac:dyDescent="0.2">
      <c r="O1102" s="322"/>
      <c r="P1102" s="322"/>
      <c r="AJ1102" s="46"/>
      <c r="AK1102" s="47"/>
      <c r="AL1102" s="383"/>
      <c r="AM1102" s="383"/>
      <c r="AN1102" s="383"/>
    </row>
    <row r="1103" spans="15:40" ht="15" customHeight="1" x14ac:dyDescent="0.2">
      <c r="O1103" s="322"/>
      <c r="P1103" s="322"/>
      <c r="AJ1103" s="46"/>
      <c r="AK1103" s="47"/>
      <c r="AL1103" s="383"/>
      <c r="AM1103" s="383"/>
      <c r="AN1103" s="383"/>
    </row>
    <row r="1104" spans="15:40" ht="15" customHeight="1" x14ac:dyDescent="0.2">
      <c r="O1104" s="322"/>
      <c r="P1104" s="322"/>
      <c r="AJ1104" s="46"/>
      <c r="AK1104" s="47"/>
      <c r="AL1104" s="383"/>
      <c r="AM1104" s="383"/>
      <c r="AN1104" s="383"/>
    </row>
    <row r="1105" spans="15:40" ht="15" customHeight="1" x14ac:dyDescent="0.2">
      <c r="O1105" s="322"/>
      <c r="P1105" s="322"/>
      <c r="AJ1105" s="46"/>
      <c r="AK1105" s="47"/>
      <c r="AL1105" s="383"/>
      <c r="AM1105" s="383"/>
      <c r="AN1105" s="383"/>
    </row>
    <row r="1106" spans="15:40" ht="15" customHeight="1" x14ac:dyDescent="0.2">
      <c r="O1106" s="322"/>
      <c r="P1106" s="322"/>
      <c r="AJ1106" s="46"/>
      <c r="AK1106" s="47"/>
      <c r="AL1106" s="383"/>
      <c r="AM1106" s="383"/>
      <c r="AN1106" s="383"/>
    </row>
    <row r="1107" spans="15:40" ht="15" customHeight="1" x14ac:dyDescent="0.2">
      <c r="O1107" s="322"/>
      <c r="P1107" s="322"/>
      <c r="AJ1107" s="46"/>
      <c r="AK1107" s="47"/>
      <c r="AL1107" s="383"/>
      <c r="AM1107" s="383"/>
      <c r="AN1107" s="383"/>
    </row>
    <row r="1108" spans="15:40" ht="15" customHeight="1" x14ac:dyDescent="0.2">
      <c r="O1108" s="322"/>
      <c r="P1108" s="322"/>
      <c r="AJ1108" s="46"/>
      <c r="AK1108" s="47"/>
      <c r="AL1108" s="383"/>
      <c r="AM1108" s="383"/>
      <c r="AN1108" s="383"/>
    </row>
    <row r="1109" spans="15:40" ht="15" customHeight="1" x14ac:dyDescent="0.2">
      <c r="O1109" s="322"/>
      <c r="P1109" s="322"/>
      <c r="AJ1109" s="46"/>
      <c r="AK1109" s="47"/>
      <c r="AL1109" s="383"/>
      <c r="AM1109" s="383"/>
      <c r="AN1109" s="383"/>
    </row>
    <row r="1110" spans="15:40" ht="15" customHeight="1" x14ac:dyDescent="0.2">
      <c r="O1110" s="322"/>
      <c r="P1110" s="322"/>
      <c r="AJ1110" s="46"/>
      <c r="AK1110" s="47"/>
      <c r="AL1110" s="383"/>
      <c r="AM1110" s="383"/>
      <c r="AN1110" s="383"/>
    </row>
    <row r="1111" spans="15:40" ht="15" customHeight="1" x14ac:dyDescent="0.2">
      <c r="O1111" s="322"/>
      <c r="P1111" s="322"/>
      <c r="AJ1111" s="46"/>
      <c r="AK1111" s="47"/>
      <c r="AL1111" s="383"/>
      <c r="AM1111" s="383"/>
      <c r="AN1111" s="383"/>
    </row>
    <row r="1112" spans="15:40" ht="15" customHeight="1" x14ac:dyDescent="0.2">
      <c r="O1112" s="322"/>
      <c r="P1112" s="322"/>
      <c r="AJ1112" s="46"/>
      <c r="AK1112" s="47"/>
      <c r="AL1112" s="383"/>
      <c r="AM1112" s="383"/>
      <c r="AN1112" s="383"/>
    </row>
    <row r="1113" spans="15:40" ht="15" customHeight="1" x14ac:dyDescent="0.2">
      <c r="O1113" s="322"/>
      <c r="P1113" s="322"/>
      <c r="AJ1113" s="46"/>
      <c r="AK1113" s="47"/>
      <c r="AL1113" s="383"/>
      <c r="AM1113" s="383"/>
      <c r="AN1113" s="383"/>
    </row>
    <row r="1114" spans="15:40" ht="15" customHeight="1" x14ac:dyDescent="0.2">
      <c r="O1114" s="322"/>
      <c r="P1114" s="322"/>
      <c r="AJ1114" s="46"/>
      <c r="AK1114" s="47"/>
      <c r="AL1114" s="383"/>
      <c r="AM1114" s="383"/>
      <c r="AN1114" s="383"/>
    </row>
    <row r="1115" spans="15:40" ht="15" customHeight="1" x14ac:dyDescent="0.2">
      <c r="O1115" s="322"/>
      <c r="P1115" s="322"/>
      <c r="AJ1115" s="46"/>
      <c r="AK1115" s="47"/>
      <c r="AL1115" s="383"/>
      <c r="AM1115" s="383"/>
      <c r="AN1115" s="383"/>
    </row>
    <row r="1116" spans="15:40" ht="15" customHeight="1" x14ac:dyDescent="0.2">
      <c r="O1116" s="322"/>
      <c r="P1116" s="322"/>
      <c r="AJ1116" s="46"/>
      <c r="AK1116" s="47"/>
      <c r="AL1116" s="383"/>
      <c r="AM1116" s="383"/>
      <c r="AN1116" s="383"/>
    </row>
    <row r="1117" spans="15:40" ht="15" customHeight="1" x14ac:dyDescent="0.2">
      <c r="O1117" s="322"/>
      <c r="P1117" s="322"/>
      <c r="AJ1117" s="46"/>
      <c r="AK1117" s="47"/>
      <c r="AL1117" s="383"/>
      <c r="AM1117" s="383"/>
      <c r="AN1117" s="383"/>
    </row>
    <row r="1118" spans="15:40" ht="15" customHeight="1" x14ac:dyDescent="0.2">
      <c r="O1118" s="322"/>
      <c r="P1118" s="322"/>
      <c r="AJ1118" s="46"/>
      <c r="AK1118" s="47"/>
      <c r="AL1118" s="383"/>
      <c r="AM1118" s="383"/>
      <c r="AN1118" s="383"/>
    </row>
    <row r="1119" spans="15:40" ht="15" customHeight="1" x14ac:dyDescent="0.2">
      <c r="O1119" s="322"/>
      <c r="P1119" s="322"/>
      <c r="AJ1119" s="46"/>
      <c r="AK1119" s="47"/>
      <c r="AL1119" s="383"/>
      <c r="AM1119" s="383"/>
      <c r="AN1119" s="383"/>
    </row>
    <row r="1120" spans="15:40" ht="15" customHeight="1" x14ac:dyDescent="0.2">
      <c r="O1120" s="322"/>
      <c r="P1120" s="322"/>
      <c r="AJ1120" s="46"/>
      <c r="AK1120" s="47"/>
      <c r="AL1120" s="383"/>
      <c r="AM1120" s="383"/>
      <c r="AN1120" s="383"/>
    </row>
    <row r="1121" spans="15:40" ht="15" customHeight="1" x14ac:dyDescent="0.2">
      <c r="O1121" s="322"/>
      <c r="P1121" s="322"/>
      <c r="AJ1121" s="46"/>
      <c r="AK1121" s="47"/>
      <c r="AL1121" s="383"/>
      <c r="AM1121" s="383"/>
      <c r="AN1121" s="383"/>
    </row>
    <row r="1122" spans="15:40" ht="15" customHeight="1" x14ac:dyDescent="0.2">
      <c r="O1122" s="322"/>
      <c r="P1122" s="322"/>
    </row>
    <row r="1123" spans="15:40" ht="15" customHeight="1" x14ac:dyDescent="0.2">
      <c r="O1123" s="322"/>
      <c r="P1123" s="322"/>
    </row>
    <row r="1124" spans="15:40" ht="15" customHeight="1" x14ac:dyDescent="0.2">
      <c r="O1124" s="322"/>
      <c r="P1124" s="322"/>
    </row>
    <row r="1125" spans="15:40" ht="15" customHeight="1" x14ac:dyDescent="0.2">
      <c r="O1125" s="322"/>
      <c r="P1125" s="322"/>
    </row>
    <row r="1126" spans="15:40" ht="15" customHeight="1" x14ac:dyDescent="0.2">
      <c r="O1126" s="322"/>
      <c r="P1126" s="322"/>
    </row>
    <row r="1127" spans="15:40" ht="15" customHeight="1" x14ac:dyDescent="0.2">
      <c r="O1127" s="322"/>
      <c r="P1127" s="322"/>
    </row>
    <row r="1128" spans="15:40" ht="15" customHeight="1" x14ac:dyDescent="0.2">
      <c r="O1128" s="322"/>
      <c r="P1128" s="322"/>
    </row>
    <row r="1129" spans="15:40" ht="15" customHeight="1" x14ac:dyDescent="0.2">
      <c r="O1129" s="322"/>
      <c r="P1129" s="322"/>
    </row>
    <row r="1130" spans="15:40" ht="15" customHeight="1" x14ac:dyDescent="0.2">
      <c r="O1130" s="322"/>
      <c r="P1130" s="322"/>
    </row>
    <row r="1131" spans="15:40" ht="15" customHeight="1" x14ac:dyDescent="0.2">
      <c r="O1131" s="322"/>
      <c r="P1131" s="322"/>
    </row>
    <row r="1132" spans="15:40" ht="15" customHeight="1" x14ac:dyDescent="0.2">
      <c r="O1132" s="322"/>
      <c r="P1132" s="322"/>
    </row>
    <row r="1133" spans="15:40" ht="15" customHeight="1" x14ac:dyDescent="0.2">
      <c r="O1133" s="322"/>
      <c r="P1133" s="322"/>
    </row>
    <row r="1134" spans="15:40" ht="15" customHeight="1" x14ac:dyDescent="0.2">
      <c r="O1134" s="322"/>
      <c r="P1134" s="322"/>
    </row>
    <row r="1135" spans="15:40" ht="15" customHeight="1" x14ac:dyDescent="0.2">
      <c r="O1135" s="322"/>
      <c r="P1135" s="322"/>
    </row>
    <row r="1136" spans="15:40" ht="15" customHeight="1" x14ac:dyDescent="0.2">
      <c r="O1136" s="322"/>
      <c r="P1136" s="322"/>
    </row>
    <row r="1137" spans="14:16" ht="15" customHeight="1" x14ac:dyDescent="0.2">
      <c r="O1137" s="322"/>
      <c r="P1137" s="322"/>
    </row>
    <row r="1138" spans="14:16" ht="15" customHeight="1" x14ac:dyDescent="0.2">
      <c r="N1138" s="46"/>
      <c r="O1138" s="322"/>
      <c r="P1138" s="322"/>
    </row>
    <row r="1139" spans="14:16" ht="15" customHeight="1" x14ac:dyDescent="0.2">
      <c r="N1139" s="46"/>
      <c r="O1139" s="322"/>
      <c r="P1139" s="322"/>
    </row>
    <row r="1140" spans="14:16" ht="15" customHeight="1" x14ac:dyDescent="0.2">
      <c r="O1140" s="322"/>
      <c r="P1140" s="322"/>
    </row>
    <row r="1141" spans="14:16" ht="15" customHeight="1" x14ac:dyDescent="0.2">
      <c r="N1141" s="46"/>
      <c r="O1141" s="322"/>
      <c r="P1141" s="322"/>
    </row>
    <row r="1142" spans="14:16" ht="15" customHeight="1" x14ac:dyDescent="0.2">
      <c r="N1142" s="46"/>
      <c r="O1142" s="322"/>
      <c r="P1142" s="322"/>
    </row>
    <row r="1143" spans="14:16" ht="15" customHeight="1" x14ac:dyDescent="0.2">
      <c r="N1143" s="46"/>
      <c r="O1143" s="322"/>
      <c r="P1143" s="322"/>
    </row>
    <row r="1144" spans="14:16" ht="15" customHeight="1" x14ac:dyDescent="0.2">
      <c r="N1144" s="46"/>
      <c r="O1144" s="322"/>
      <c r="P1144" s="322"/>
    </row>
    <row r="1145" spans="14:16" ht="15" customHeight="1" x14ac:dyDescent="0.2">
      <c r="N1145" s="46"/>
      <c r="O1145" s="322"/>
      <c r="P1145" s="322"/>
    </row>
    <row r="1146" spans="14:16" ht="15" customHeight="1" x14ac:dyDescent="0.2">
      <c r="N1146" s="46"/>
      <c r="O1146" s="322"/>
      <c r="P1146" s="322"/>
    </row>
    <row r="1147" spans="14:16" ht="15" customHeight="1" x14ac:dyDescent="0.2">
      <c r="N1147" s="46"/>
      <c r="O1147" s="322"/>
      <c r="P1147" s="322"/>
    </row>
    <row r="1148" spans="14:16" ht="15" customHeight="1" x14ac:dyDescent="0.2">
      <c r="N1148" s="46"/>
      <c r="O1148" s="322"/>
      <c r="P1148" s="322"/>
    </row>
    <row r="1149" spans="14:16" ht="15" customHeight="1" x14ac:dyDescent="0.2">
      <c r="O1149" s="322"/>
      <c r="P1149" s="322"/>
    </row>
    <row r="1150" spans="14:16" ht="15" customHeight="1" x14ac:dyDescent="0.2">
      <c r="N1150" s="46"/>
      <c r="O1150" s="322"/>
      <c r="P1150" s="322"/>
    </row>
    <row r="1151" spans="14:16" ht="15" customHeight="1" x14ac:dyDescent="0.2">
      <c r="N1151" s="46"/>
      <c r="O1151" s="322"/>
      <c r="P1151" s="322"/>
    </row>
    <row r="1152" spans="14:16" ht="15" customHeight="1" x14ac:dyDescent="0.2">
      <c r="N1152" s="46"/>
      <c r="O1152" s="322"/>
      <c r="P1152" s="322"/>
    </row>
    <row r="1153" spans="14:16" ht="15" customHeight="1" x14ac:dyDescent="0.2">
      <c r="N1153" s="46"/>
      <c r="O1153" s="322"/>
      <c r="P1153" s="322"/>
    </row>
    <row r="1154" spans="14:16" ht="15" customHeight="1" x14ac:dyDescent="0.2">
      <c r="N1154" s="46"/>
      <c r="O1154" s="322"/>
      <c r="P1154" s="322"/>
    </row>
    <row r="1155" spans="14:16" ht="15" customHeight="1" x14ac:dyDescent="0.2">
      <c r="N1155" s="46"/>
      <c r="O1155" s="322"/>
      <c r="P1155" s="322"/>
    </row>
    <row r="1156" spans="14:16" ht="15" customHeight="1" x14ac:dyDescent="0.2">
      <c r="N1156" s="46"/>
      <c r="O1156" s="322"/>
      <c r="P1156" s="322"/>
    </row>
    <row r="1157" spans="14:16" ht="15" customHeight="1" x14ac:dyDescent="0.2">
      <c r="N1157" s="46"/>
      <c r="O1157" s="322"/>
      <c r="P1157" s="322"/>
    </row>
    <row r="1158" spans="14:16" ht="15" customHeight="1" x14ac:dyDescent="0.2">
      <c r="N1158" s="46"/>
      <c r="O1158" s="322"/>
      <c r="P1158" s="322"/>
    </row>
    <row r="1159" spans="14:16" ht="15" customHeight="1" x14ac:dyDescent="0.2">
      <c r="N1159" s="46"/>
      <c r="O1159" s="322"/>
      <c r="P1159" s="322"/>
    </row>
    <row r="1160" spans="14:16" ht="15" customHeight="1" x14ac:dyDescent="0.2">
      <c r="O1160" s="322"/>
      <c r="P1160" s="322"/>
    </row>
    <row r="1161" spans="14:16" ht="15" customHeight="1" x14ac:dyDescent="0.2">
      <c r="O1161" s="322"/>
      <c r="P1161" s="322"/>
    </row>
    <row r="1162" spans="14:16" ht="15" customHeight="1" x14ac:dyDescent="0.2">
      <c r="O1162" s="322"/>
      <c r="P1162" s="322"/>
    </row>
    <row r="1163" spans="14:16" ht="15" customHeight="1" x14ac:dyDescent="0.2">
      <c r="O1163" s="322"/>
      <c r="P1163" s="322"/>
    </row>
    <row r="1164" spans="14:16" ht="15" customHeight="1" x14ac:dyDescent="0.2">
      <c r="O1164" s="322"/>
      <c r="P1164" s="322"/>
    </row>
    <row r="1165" spans="14:16" ht="15" customHeight="1" x14ac:dyDescent="0.2">
      <c r="O1165" s="322"/>
      <c r="P1165" s="322"/>
    </row>
    <row r="1166" spans="14:16" ht="15" customHeight="1" x14ac:dyDescent="0.2">
      <c r="O1166" s="322"/>
      <c r="P1166" s="322"/>
    </row>
    <row r="1167" spans="14:16" ht="15" customHeight="1" x14ac:dyDescent="0.2">
      <c r="O1167" s="322"/>
      <c r="P1167" s="322"/>
    </row>
    <row r="1168" spans="14:16" ht="15" customHeight="1" x14ac:dyDescent="0.2">
      <c r="O1168" s="322"/>
      <c r="P1168" s="322"/>
    </row>
    <row r="1169" spans="15:16" ht="15" customHeight="1" x14ac:dyDescent="0.2">
      <c r="O1169" s="322"/>
      <c r="P1169" s="322"/>
    </row>
    <row r="1170" spans="15:16" ht="15" customHeight="1" x14ac:dyDescent="0.2">
      <c r="O1170" s="322"/>
      <c r="P1170" s="322"/>
    </row>
    <row r="1171" spans="15:16" ht="15" customHeight="1" x14ac:dyDescent="0.2">
      <c r="O1171" s="322"/>
      <c r="P1171" s="322"/>
    </row>
    <row r="1172" spans="15:16" ht="15" customHeight="1" x14ac:dyDescent="0.2">
      <c r="O1172" s="322"/>
      <c r="P1172" s="322"/>
    </row>
    <row r="1173" spans="15:16" ht="15" customHeight="1" x14ac:dyDescent="0.2">
      <c r="O1173" s="322"/>
      <c r="P1173" s="322"/>
    </row>
    <row r="1174" spans="15:16" ht="15" customHeight="1" x14ac:dyDescent="0.2">
      <c r="O1174" s="322"/>
      <c r="P1174" s="322"/>
    </row>
    <row r="1175" spans="15:16" ht="15" customHeight="1" x14ac:dyDescent="0.2">
      <c r="O1175" s="322"/>
      <c r="P1175" s="322"/>
    </row>
    <row r="1176" spans="15:16" ht="15" customHeight="1" x14ac:dyDescent="0.2">
      <c r="O1176" s="322"/>
      <c r="P1176" s="322"/>
    </row>
    <row r="1177" spans="15:16" ht="15" customHeight="1" x14ac:dyDescent="0.2">
      <c r="O1177" s="322"/>
      <c r="P1177" s="322"/>
    </row>
    <row r="1178" spans="15:16" ht="15" customHeight="1" x14ac:dyDescent="0.2">
      <c r="O1178" s="322"/>
      <c r="P1178" s="322"/>
    </row>
    <row r="1179" spans="15:16" ht="15" customHeight="1" x14ac:dyDescent="0.2">
      <c r="O1179" s="322"/>
      <c r="P1179" s="322"/>
    </row>
    <row r="1180" spans="15:16" ht="15" customHeight="1" x14ac:dyDescent="0.2">
      <c r="O1180" s="322"/>
      <c r="P1180" s="322"/>
    </row>
    <row r="1181" spans="15:16" ht="15" customHeight="1" x14ac:dyDescent="0.2">
      <c r="O1181" s="322"/>
      <c r="P1181" s="322"/>
    </row>
    <row r="1182" spans="15:16" ht="15" customHeight="1" x14ac:dyDescent="0.2">
      <c r="O1182" s="322"/>
      <c r="P1182" s="322"/>
    </row>
    <row r="1183" spans="15:16" ht="15" customHeight="1" x14ac:dyDescent="0.2">
      <c r="O1183" s="322"/>
      <c r="P1183" s="322"/>
    </row>
    <row r="1184" spans="15:16" ht="15" customHeight="1" x14ac:dyDescent="0.2">
      <c r="O1184" s="322"/>
      <c r="P1184" s="322"/>
    </row>
    <row r="1185" spans="15:16" ht="15" customHeight="1" x14ac:dyDescent="0.2">
      <c r="O1185" s="322"/>
      <c r="P1185" s="322"/>
    </row>
    <row r="1186" spans="15:16" ht="15" customHeight="1" x14ac:dyDescent="0.2">
      <c r="O1186" s="322"/>
      <c r="P1186" s="322"/>
    </row>
    <row r="1187" spans="15:16" ht="15" customHeight="1" x14ac:dyDescent="0.2">
      <c r="O1187" s="322"/>
      <c r="P1187" s="322"/>
    </row>
    <row r="1188" spans="15:16" ht="15" customHeight="1" x14ac:dyDescent="0.2">
      <c r="O1188" s="322"/>
      <c r="P1188" s="322"/>
    </row>
    <row r="1189" spans="15:16" ht="15" customHeight="1" x14ac:dyDescent="0.2">
      <c r="O1189" s="322"/>
      <c r="P1189" s="322"/>
    </row>
    <row r="1190" spans="15:16" ht="15" customHeight="1" x14ac:dyDescent="0.2">
      <c r="O1190" s="322"/>
      <c r="P1190" s="322"/>
    </row>
    <row r="1191" spans="15:16" ht="15" customHeight="1" x14ac:dyDescent="0.2">
      <c r="O1191" s="322"/>
      <c r="P1191" s="322"/>
    </row>
    <row r="1192" spans="15:16" ht="15" customHeight="1" x14ac:dyDescent="0.2">
      <c r="O1192" s="322"/>
      <c r="P1192" s="322"/>
    </row>
    <row r="1193" spans="15:16" ht="15" customHeight="1" x14ac:dyDescent="0.2">
      <c r="O1193" s="322"/>
      <c r="P1193" s="322"/>
    </row>
    <row r="1194" spans="15:16" ht="15" customHeight="1" x14ac:dyDescent="0.2"/>
    <row r="1195" spans="15:16" ht="15" customHeight="1" x14ac:dyDescent="0.2"/>
    <row r="1196" spans="15:16" ht="15" customHeight="1" x14ac:dyDescent="0.2"/>
    <row r="1197" spans="15:16" ht="15" customHeight="1" x14ac:dyDescent="0.2"/>
    <row r="1198" spans="15:16" ht="15" customHeight="1" x14ac:dyDescent="0.2"/>
    <row r="1199" spans="15:16" ht="15" customHeight="1" x14ac:dyDescent="0.2"/>
    <row r="1200" spans="15:16" ht="15" customHeight="1" x14ac:dyDescent="0.2"/>
    <row r="1201" ht="15" customHeight="1" x14ac:dyDescent="0.2"/>
    <row r="1202" ht="15" customHeight="1" x14ac:dyDescent="0.2"/>
    <row r="1203" ht="15" customHeight="1" x14ac:dyDescent="0.2"/>
    <row r="1204" ht="15" customHeight="1" x14ac:dyDescent="0.2"/>
    <row r="1205" ht="15" customHeight="1" x14ac:dyDescent="0.2"/>
    <row r="1206" ht="15" customHeight="1" x14ac:dyDescent="0.2"/>
    <row r="1207" ht="15" customHeight="1" x14ac:dyDescent="0.2"/>
    <row r="1208" ht="15" customHeight="1" x14ac:dyDescent="0.2"/>
    <row r="1209" ht="15" customHeight="1" x14ac:dyDescent="0.2"/>
    <row r="1210" ht="15" customHeight="1" x14ac:dyDescent="0.2"/>
    <row r="1211" ht="15" customHeight="1" x14ac:dyDescent="0.2"/>
    <row r="1212" ht="15" customHeight="1" x14ac:dyDescent="0.2"/>
    <row r="1213" ht="15" customHeight="1" x14ac:dyDescent="0.2"/>
    <row r="1214" ht="15" customHeight="1" x14ac:dyDescent="0.2"/>
    <row r="1215" ht="15" customHeight="1" x14ac:dyDescent="0.2"/>
    <row r="1216" ht="15" customHeight="1" x14ac:dyDescent="0.2"/>
    <row r="1217" ht="15" customHeight="1" x14ac:dyDescent="0.2"/>
    <row r="1218" ht="15" customHeight="1" x14ac:dyDescent="0.2"/>
    <row r="1219" ht="15" customHeight="1" x14ac:dyDescent="0.2"/>
    <row r="1220" ht="15" customHeight="1" x14ac:dyDescent="0.2"/>
    <row r="1221" ht="15" customHeight="1" x14ac:dyDescent="0.2"/>
    <row r="1222" ht="15" customHeight="1" x14ac:dyDescent="0.2"/>
    <row r="1223" ht="15" customHeight="1" x14ac:dyDescent="0.2"/>
    <row r="1224" ht="15" customHeight="1" x14ac:dyDescent="0.2"/>
    <row r="1225" ht="15" customHeight="1" x14ac:dyDescent="0.2"/>
    <row r="1226" ht="15" customHeight="1" x14ac:dyDescent="0.2"/>
    <row r="1227" ht="15" customHeight="1" x14ac:dyDescent="0.2"/>
    <row r="1228" ht="15" customHeight="1" x14ac:dyDescent="0.2"/>
    <row r="1229" ht="15" customHeight="1" x14ac:dyDescent="0.2"/>
    <row r="1230" ht="15" customHeight="1" x14ac:dyDescent="0.2"/>
    <row r="1231" ht="15" customHeight="1" x14ac:dyDescent="0.2"/>
    <row r="1232" ht="15" customHeight="1" x14ac:dyDescent="0.2"/>
    <row r="1233" ht="15" customHeight="1" x14ac:dyDescent="0.2"/>
    <row r="1234" ht="15" customHeight="1" x14ac:dyDescent="0.2"/>
    <row r="1235" ht="15" customHeight="1" x14ac:dyDescent="0.2"/>
    <row r="1236" ht="15" customHeight="1" x14ac:dyDescent="0.2"/>
    <row r="1237" ht="15" customHeight="1" x14ac:dyDescent="0.2"/>
    <row r="1238" ht="15" customHeight="1" x14ac:dyDescent="0.2"/>
    <row r="1239" ht="15" customHeight="1" x14ac:dyDescent="0.2"/>
    <row r="1240" ht="15" customHeight="1" x14ac:dyDescent="0.2"/>
    <row r="1241" ht="15" customHeight="1" x14ac:dyDescent="0.2"/>
    <row r="1242" ht="15" customHeight="1" x14ac:dyDescent="0.2"/>
    <row r="1243" ht="15" customHeight="1" x14ac:dyDescent="0.2"/>
    <row r="1244" ht="15" customHeight="1" x14ac:dyDescent="0.2"/>
    <row r="1245" ht="15" customHeight="1" x14ac:dyDescent="0.2"/>
    <row r="1246" ht="15" customHeight="1" x14ac:dyDescent="0.2"/>
    <row r="1247" ht="15" customHeight="1" x14ac:dyDescent="0.2"/>
    <row r="1248" ht="15" customHeight="1" x14ac:dyDescent="0.2"/>
    <row r="1249" ht="15" customHeight="1" x14ac:dyDescent="0.2"/>
    <row r="1250" ht="15" customHeight="1" x14ac:dyDescent="0.2"/>
    <row r="1251" ht="15" customHeight="1" x14ac:dyDescent="0.2"/>
    <row r="1252" ht="15" customHeight="1" x14ac:dyDescent="0.2"/>
    <row r="1253" ht="15" customHeight="1" x14ac:dyDescent="0.2"/>
    <row r="1254" ht="15" customHeight="1" x14ac:dyDescent="0.2"/>
    <row r="1255" ht="15" customHeight="1" x14ac:dyDescent="0.2"/>
    <row r="1256" ht="15" customHeight="1" x14ac:dyDescent="0.2"/>
    <row r="1257" ht="15" customHeight="1" x14ac:dyDescent="0.2"/>
    <row r="1258" ht="15" customHeight="1" x14ac:dyDescent="0.2"/>
    <row r="1259" ht="15" customHeight="1" x14ac:dyDescent="0.2"/>
    <row r="1260" ht="15" customHeight="1" x14ac:dyDescent="0.2"/>
    <row r="1261" ht="15" customHeight="1" x14ac:dyDescent="0.2"/>
    <row r="1262" ht="15" customHeight="1" x14ac:dyDescent="0.2"/>
    <row r="1263" ht="15" customHeight="1" x14ac:dyDescent="0.2"/>
    <row r="1264" ht="15" customHeight="1" x14ac:dyDescent="0.2"/>
    <row r="1265" ht="15" customHeight="1" x14ac:dyDescent="0.2"/>
    <row r="1266" ht="15" customHeight="1" x14ac:dyDescent="0.2"/>
    <row r="1267" ht="15" customHeight="1" x14ac:dyDescent="0.2"/>
    <row r="1268" ht="15" customHeight="1" x14ac:dyDescent="0.2"/>
    <row r="1269" ht="15" customHeight="1" x14ac:dyDescent="0.2"/>
    <row r="1270" ht="15" customHeight="1" x14ac:dyDescent="0.2"/>
    <row r="1271" ht="15" customHeight="1" x14ac:dyDescent="0.2"/>
    <row r="1272" ht="15" customHeight="1" x14ac:dyDescent="0.2"/>
    <row r="1273" ht="15" customHeight="1" x14ac:dyDescent="0.2"/>
    <row r="1274" ht="15" customHeight="1" x14ac:dyDescent="0.2"/>
    <row r="1275" ht="15" customHeight="1" x14ac:dyDescent="0.2"/>
    <row r="1276" ht="15" customHeight="1" x14ac:dyDescent="0.2"/>
    <row r="1277" ht="15" customHeight="1" x14ac:dyDescent="0.2"/>
    <row r="1278" ht="15" customHeight="1" x14ac:dyDescent="0.2"/>
    <row r="1279" ht="15" customHeight="1" x14ac:dyDescent="0.2"/>
    <row r="1280" ht="15" customHeight="1" x14ac:dyDescent="0.2"/>
    <row r="1281" ht="15" customHeight="1" x14ac:dyDescent="0.2"/>
    <row r="1282" ht="15" customHeight="1" x14ac:dyDescent="0.2"/>
    <row r="1283" ht="15" customHeight="1" x14ac:dyDescent="0.2"/>
    <row r="1284" ht="15" customHeight="1" x14ac:dyDescent="0.2"/>
    <row r="1285" ht="15" customHeight="1" x14ac:dyDescent="0.2"/>
    <row r="1286" ht="15" customHeight="1" x14ac:dyDescent="0.2"/>
    <row r="1287" ht="15" customHeight="1" x14ac:dyDescent="0.2"/>
    <row r="1288" ht="15" customHeight="1" x14ac:dyDescent="0.2"/>
    <row r="1289" ht="15" customHeight="1" x14ac:dyDescent="0.2"/>
    <row r="1290" ht="15" customHeight="1" x14ac:dyDescent="0.2"/>
    <row r="1291" ht="15" customHeight="1" x14ac:dyDescent="0.2"/>
    <row r="1292" ht="15" customHeight="1" x14ac:dyDescent="0.2"/>
    <row r="1293" ht="15" customHeight="1" x14ac:dyDescent="0.2"/>
    <row r="1294" ht="15" customHeight="1" x14ac:dyDescent="0.2"/>
    <row r="1295" ht="15" customHeight="1" x14ac:dyDescent="0.2"/>
    <row r="1296" ht="15" customHeight="1" x14ac:dyDescent="0.2"/>
    <row r="1297" ht="15" customHeight="1" x14ac:dyDescent="0.2"/>
    <row r="1298" ht="15" customHeight="1" x14ac:dyDescent="0.2"/>
    <row r="1299" ht="15" customHeight="1" x14ac:dyDescent="0.2"/>
    <row r="1300" ht="15" customHeight="1" x14ac:dyDescent="0.2"/>
    <row r="1301" ht="15" customHeight="1" x14ac:dyDescent="0.2"/>
    <row r="1302" ht="15" customHeight="1" x14ac:dyDescent="0.2"/>
    <row r="1303" ht="15" customHeight="1" x14ac:dyDescent="0.2"/>
    <row r="1304" ht="15" customHeight="1" x14ac:dyDescent="0.2"/>
    <row r="1305" ht="15" customHeight="1" x14ac:dyDescent="0.2"/>
    <row r="1306" ht="15" customHeight="1" x14ac:dyDescent="0.2"/>
    <row r="1307" ht="15" customHeight="1" x14ac:dyDescent="0.2"/>
    <row r="1308" ht="15" customHeight="1" x14ac:dyDescent="0.2"/>
    <row r="1309" ht="15" customHeight="1" x14ac:dyDescent="0.2"/>
    <row r="1310" ht="15" customHeight="1" x14ac:dyDescent="0.2"/>
    <row r="1311" ht="15" customHeight="1" x14ac:dyDescent="0.2"/>
    <row r="1312" ht="15" customHeight="1" x14ac:dyDescent="0.2"/>
    <row r="1313" ht="15" customHeight="1" x14ac:dyDescent="0.2"/>
    <row r="1314" ht="15" customHeight="1" x14ac:dyDescent="0.2"/>
    <row r="1315" ht="15" customHeight="1" x14ac:dyDescent="0.2"/>
    <row r="1316" ht="15" customHeight="1" x14ac:dyDescent="0.2"/>
    <row r="1317" ht="15" customHeight="1" x14ac:dyDescent="0.2"/>
    <row r="1318" ht="15" customHeight="1" x14ac:dyDescent="0.2"/>
    <row r="1319" ht="15" customHeight="1" x14ac:dyDescent="0.2"/>
    <row r="1320" ht="15" customHeight="1" x14ac:dyDescent="0.2"/>
    <row r="1321" ht="15" customHeight="1" x14ac:dyDescent="0.2"/>
    <row r="1322" ht="15" customHeight="1" x14ac:dyDescent="0.2"/>
    <row r="1323" ht="15" customHeight="1" x14ac:dyDescent="0.2"/>
    <row r="1324" ht="15" customHeight="1" x14ac:dyDescent="0.2"/>
    <row r="1325" ht="15" customHeight="1" x14ac:dyDescent="0.2"/>
    <row r="1326" ht="15" customHeight="1" x14ac:dyDescent="0.2"/>
    <row r="1327" ht="15" customHeight="1" x14ac:dyDescent="0.2"/>
    <row r="1328" ht="15" customHeight="1" x14ac:dyDescent="0.2"/>
    <row r="1329" spans="19:19" ht="15" customHeight="1" x14ac:dyDescent="0.2"/>
    <row r="1330" spans="19:19" ht="15" customHeight="1" x14ac:dyDescent="0.2"/>
    <row r="1331" spans="19:19" ht="15" customHeight="1" x14ac:dyDescent="0.2"/>
    <row r="1332" spans="19:19" ht="15" customHeight="1" x14ac:dyDescent="0.2"/>
    <row r="1333" spans="19:19" ht="15" customHeight="1" x14ac:dyDescent="0.2"/>
    <row r="1334" spans="19:19" ht="15" customHeight="1" x14ac:dyDescent="0.2"/>
    <row r="1335" spans="19:19" ht="15" customHeight="1" x14ac:dyDescent="0.2"/>
    <row r="1336" spans="19:19" ht="15" customHeight="1" x14ac:dyDescent="0.2"/>
    <row r="1337" spans="19:19" ht="15" customHeight="1" x14ac:dyDescent="0.2"/>
    <row r="1338" spans="19:19" ht="15" customHeight="1" x14ac:dyDescent="0.2"/>
    <row r="1339" spans="19:19" ht="15" customHeight="1" x14ac:dyDescent="0.2">
      <c r="S1339" s="89"/>
    </row>
    <row r="1340" spans="19:19" ht="15" customHeight="1" x14ac:dyDescent="0.2"/>
    <row r="1341" spans="19:19" ht="15" customHeight="1" x14ac:dyDescent="0.2"/>
    <row r="1342" spans="19:19" ht="15" customHeight="1" x14ac:dyDescent="0.2"/>
    <row r="1343" spans="19:19" ht="15" customHeight="1" x14ac:dyDescent="0.2"/>
    <row r="1344" spans="19:19" ht="15" customHeight="1" x14ac:dyDescent="0.2"/>
    <row r="1345" ht="15" customHeight="1" x14ac:dyDescent="0.2"/>
    <row r="1346" ht="15" customHeight="1" x14ac:dyDescent="0.2"/>
    <row r="1347" ht="15" customHeight="1" x14ac:dyDescent="0.2"/>
    <row r="1348" ht="15" customHeight="1" x14ac:dyDescent="0.2"/>
    <row r="1349" ht="15" customHeight="1" x14ac:dyDescent="0.2"/>
    <row r="1350" ht="15" customHeight="1" x14ac:dyDescent="0.2"/>
    <row r="1351" ht="15" customHeight="1" x14ac:dyDescent="0.2"/>
    <row r="1352" ht="15" customHeight="1" x14ac:dyDescent="0.2"/>
    <row r="1353" ht="15" customHeight="1" x14ac:dyDescent="0.2"/>
    <row r="1354" ht="15" customHeight="1" x14ac:dyDescent="0.2"/>
    <row r="1355" ht="15" customHeight="1" x14ac:dyDescent="0.2"/>
    <row r="1356" ht="15" customHeight="1" x14ac:dyDescent="0.2"/>
    <row r="1357" ht="15" customHeight="1" x14ac:dyDescent="0.2"/>
    <row r="1358" ht="15" customHeight="1" x14ac:dyDescent="0.2"/>
    <row r="1359" ht="15" customHeight="1" x14ac:dyDescent="0.2"/>
    <row r="1360" ht="15" customHeight="1" x14ac:dyDescent="0.2"/>
    <row r="1361" ht="15" customHeight="1" x14ac:dyDescent="0.2"/>
    <row r="1362" ht="15" customHeight="1" x14ac:dyDescent="0.2"/>
    <row r="1363" ht="15" customHeight="1" x14ac:dyDescent="0.2"/>
    <row r="1364" ht="15" customHeight="1" x14ac:dyDescent="0.2"/>
    <row r="1365" ht="15" customHeight="1" x14ac:dyDescent="0.2"/>
    <row r="1366" ht="15" customHeight="1" x14ac:dyDescent="0.2"/>
    <row r="1367" ht="15" customHeight="1" x14ac:dyDescent="0.2"/>
    <row r="1368" ht="15" customHeight="1" x14ac:dyDescent="0.2"/>
    <row r="1369" ht="15" customHeight="1" x14ac:dyDescent="0.2"/>
    <row r="1370" ht="15" customHeight="1" x14ac:dyDescent="0.2"/>
    <row r="1371" ht="15" customHeight="1" x14ac:dyDescent="0.2"/>
    <row r="1372" ht="15" customHeight="1" x14ac:dyDescent="0.2"/>
    <row r="1373" ht="15" customHeight="1" x14ac:dyDescent="0.2"/>
    <row r="1374" ht="15" customHeight="1" x14ac:dyDescent="0.2"/>
    <row r="1375" ht="15" customHeight="1" x14ac:dyDescent="0.2"/>
    <row r="1376" ht="15" customHeight="1" x14ac:dyDescent="0.2"/>
    <row r="1377" ht="15" customHeight="1" x14ac:dyDescent="0.2"/>
    <row r="1378" ht="15" customHeight="1" x14ac:dyDescent="0.2"/>
    <row r="1379" ht="15" customHeight="1" x14ac:dyDescent="0.2"/>
    <row r="1380" ht="15" customHeight="1" x14ac:dyDescent="0.2"/>
    <row r="1381" ht="15" customHeight="1" x14ac:dyDescent="0.2"/>
    <row r="1382" ht="15" customHeight="1" x14ac:dyDescent="0.2"/>
    <row r="1383" ht="15" customHeight="1" x14ac:dyDescent="0.2"/>
    <row r="1384" ht="15" customHeight="1" x14ac:dyDescent="0.2"/>
    <row r="1385" ht="15" customHeight="1" x14ac:dyDescent="0.2"/>
    <row r="1386" ht="15" customHeight="1" x14ac:dyDescent="0.2"/>
    <row r="1387" ht="15" customHeight="1" x14ac:dyDescent="0.2"/>
    <row r="1388" ht="15" customHeight="1" x14ac:dyDescent="0.2"/>
    <row r="1389" ht="15" customHeight="1" x14ac:dyDescent="0.2"/>
    <row r="1390" ht="15" customHeight="1" x14ac:dyDescent="0.2"/>
    <row r="1391" ht="15" customHeight="1" x14ac:dyDescent="0.2"/>
    <row r="1392" ht="15" customHeight="1" x14ac:dyDescent="0.2"/>
    <row r="1393" ht="15" customHeight="1" x14ac:dyDescent="0.2"/>
    <row r="1394" ht="15" customHeight="1" x14ac:dyDescent="0.2"/>
    <row r="1395" ht="15" customHeight="1" x14ac:dyDescent="0.2"/>
    <row r="1396" ht="15" customHeight="1" x14ac:dyDescent="0.2"/>
    <row r="1397" ht="15" customHeight="1" x14ac:dyDescent="0.2"/>
    <row r="1398" ht="15" customHeight="1" x14ac:dyDescent="0.2"/>
    <row r="1399" ht="15" customHeight="1" x14ac:dyDescent="0.2"/>
    <row r="1400" ht="15" customHeight="1" x14ac:dyDescent="0.2"/>
    <row r="1401" ht="15" customHeight="1" x14ac:dyDescent="0.2"/>
    <row r="1402" ht="15" customHeight="1" x14ac:dyDescent="0.2"/>
    <row r="1403" ht="15" customHeight="1" x14ac:dyDescent="0.2"/>
    <row r="1404" ht="15" customHeight="1" x14ac:dyDescent="0.2"/>
    <row r="1405" ht="15" customHeight="1" x14ac:dyDescent="0.2"/>
    <row r="1406" ht="15" customHeight="1" x14ac:dyDescent="0.2"/>
    <row r="1407" ht="15" customHeight="1" x14ac:dyDescent="0.2"/>
    <row r="1408" ht="15" customHeight="1" x14ac:dyDescent="0.2"/>
    <row r="1409" ht="15" customHeight="1" x14ac:dyDescent="0.2"/>
    <row r="1410" ht="15" customHeight="1" x14ac:dyDescent="0.2"/>
    <row r="1411" ht="15" customHeight="1" x14ac:dyDescent="0.2"/>
    <row r="1412" ht="15" customHeight="1" x14ac:dyDescent="0.2"/>
    <row r="1413" ht="15" customHeight="1" x14ac:dyDescent="0.2"/>
    <row r="1414" ht="15" customHeight="1" x14ac:dyDescent="0.2"/>
    <row r="1415" ht="15" customHeight="1" x14ac:dyDescent="0.2"/>
    <row r="1416" ht="15" customHeight="1" x14ac:dyDescent="0.2"/>
    <row r="1417" ht="15" customHeight="1" x14ac:dyDescent="0.2"/>
    <row r="1418" ht="15" customHeight="1" x14ac:dyDescent="0.2"/>
  </sheetData>
  <mergeCells count="48">
    <mergeCell ref="X6:AE6"/>
    <mergeCell ref="AF6:AG6"/>
    <mergeCell ref="X7:AE7"/>
    <mergeCell ref="AF7:AG7"/>
    <mergeCell ref="X14:AE14"/>
    <mergeCell ref="AF14:AG14"/>
    <mergeCell ref="X11:AE11"/>
    <mergeCell ref="AF11:AG11"/>
    <mergeCell ref="X12:AE12"/>
    <mergeCell ref="AF12:AG12"/>
    <mergeCell ref="X8:AE8"/>
    <mergeCell ref="AF8:AG8"/>
    <mergeCell ref="W1:AA1"/>
    <mergeCell ref="AB1:AH1"/>
    <mergeCell ref="X15:AE15"/>
    <mergeCell ref="AF15:AG15"/>
    <mergeCell ref="X5:AE5"/>
    <mergeCell ref="AF5:AG5"/>
    <mergeCell ref="X2:AE2"/>
    <mergeCell ref="AF2:AG2"/>
    <mergeCell ref="X3:AE3"/>
    <mergeCell ref="AF3:AG3"/>
    <mergeCell ref="X4:AE4"/>
    <mergeCell ref="AF4:AG4"/>
    <mergeCell ref="X13:AE13"/>
    <mergeCell ref="AF13:AG13"/>
    <mergeCell ref="X9:AE9"/>
    <mergeCell ref="AF9:AG9"/>
    <mergeCell ref="X20:AE20"/>
    <mergeCell ref="AF20:AG20"/>
    <mergeCell ref="X22:AE22"/>
    <mergeCell ref="AF22:AG22"/>
    <mergeCell ref="X10:AE10"/>
    <mergeCell ref="AF10:AG10"/>
    <mergeCell ref="X18:AE18"/>
    <mergeCell ref="AF18:AG18"/>
    <mergeCell ref="X19:AE19"/>
    <mergeCell ref="AF19:AG19"/>
    <mergeCell ref="X17:AE17"/>
    <mergeCell ref="AF17:AG17"/>
    <mergeCell ref="X16:AE16"/>
    <mergeCell ref="AF16:AG16"/>
    <mergeCell ref="X23:AE23"/>
    <mergeCell ref="AF23:AG23"/>
    <mergeCell ref="X24:AE24"/>
    <mergeCell ref="AF24:AG24"/>
    <mergeCell ref="X21:AE21"/>
    <mergeCell ref="AF21:AG21"/>
  </mergeCells>
  <phoneticPr fontId="13"/>
  <dataValidations disablePrompts="1" count="1">
    <dataValidation allowBlank="1" showInputMessage="1" showErrorMessage="1" sqref="W1:AH24" xr:uid="{00000000-0002-0000-0800-000000000000}"/>
  </dataValidations>
  <pageMargins left="0.7" right="0.7" top="0.75" bottom="0.75" header="0.3" footer="0.3"/>
  <pageSetup paperSize="9" scale="85" orientation="portrait" r:id="rId1"/>
  <ignoredErrors>
    <ignoredError sqref="D1:D65536 C10:C11 H5:I9 H4" numberStoredAsText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AA67"/>
  <sheetViews>
    <sheetView workbookViewId="0">
      <selection sqref="A1:F1"/>
    </sheetView>
  </sheetViews>
  <sheetFormatPr defaultRowHeight="13.2" x14ac:dyDescent="0.2"/>
  <cols>
    <col min="1" max="21" width="3.109375" customWidth="1"/>
    <col min="22" max="22" width="2.109375" customWidth="1"/>
    <col min="23" max="25" width="2.44140625" customWidth="1"/>
    <col min="26" max="26" width="19.44140625" customWidth="1"/>
    <col min="27" max="27" width="3.109375" customWidth="1"/>
  </cols>
  <sheetData>
    <row r="1" spans="1:27" x14ac:dyDescent="0.2">
      <c r="A1" s="1026" t="s">
        <v>1702</v>
      </c>
      <c r="B1" s="1027"/>
      <c r="C1" s="1027"/>
      <c r="D1" s="1027"/>
      <c r="E1" s="1027"/>
      <c r="F1" s="1028"/>
      <c r="G1" s="263" t="s">
        <v>1703</v>
      </c>
      <c r="H1" s="263"/>
      <c r="I1" s="263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8"/>
      <c r="V1" s="9"/>
      <c r="W1" s="1029" t="s">
        <v>1704</v>
      </c>
      <c r="X1" s="1030"/>
      <c r="Y1" s="1031"/>
      <c r="Z1" s="384" t="s">
        <v>1705</v>
      </c>
      <c r="AA1" s="264" t="s">
        <v>1706</v>
      </c>
    </row>
    <row r="2" spans="1:27" x14ac:dyDescent="0.2">
      <c r="A2" s="265" t="s">
        <v>1707</v>
      </c>
      <c r="B2" s="266"/>
      <c r="C2" s="266"/>
      <c r="D2" s="266"/>
      <c r="E2" s="266"/>
      <c r="F2" s="267"/>
      <c r="G2" s="268" t="s">
        <v>1708</v>
      </c>
      <c r="H2" s="268"/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9"/>
      <c r="V2" s="9"/>
      <c r="W2" s="1032" t="s">
        <v>304</v>
      </c>
      <c r="X2" s="1033"/>
      <c r="Y2" s="1034"/>
      <c r="Z2" s="270" t="s">
        <v>1709</v>
      </c>
      <c r="AA2" s="271" t="s">
        <v>1710</v>
      </c>
    </row>
    <row r="3" spans="1:27" x14ac:dyDescent="0.2">
      <c r="A3" s="272" t="s">
        <v>1711</v>
      </c>
      <c r="B3" s="12"/>
      <c r="C3" s="12"/>
      <c r="D3" s="12"/>
      <c r="E3" s="12"/>
      <c r="F3" s="273"/>
      <c r="G3" s="268" t="s">
        <v>1712</v>
      </c>
      <c r="H3" s="268"/>
      <c r="I3" s="16"/>
      <c r="J3" s="16"/>
      <c r="K3" s="16"/>
      <c r="L3" s="16"/>
      <c r="M3" s="16"/>
      <c r="N3" s="16"/>
      <c r="O3" s="268"/>
      <c r="P3" s="268"/>
      <c r="Q3" s="268"/>
      <c r="R3" s="268"/>
      <c r="S3" s="268"/>
      <c r="T3" s="268"/>
      <c r="U3" s="269"/>
      <c r="V3" s="9"/>
      <c r="W3" s="1032" t="s">
        <v>345</v>
      </c>
      <c r="X3" s="1033"/>
      <c r="Y3" s="1034"/>
      <c r="Z3" s="270" t="s">
        <v>1713</v>
      </c>
      <c r="AA3" s="271" t="s">
        <v>1714</v>
      </c>
    </row>
    <row r="4" spans="1:27" x14ac:dyDescent="0.2">
      <c r="A4" s="272" t="s">
        <v>1715</v>
      </c>
      <c r="B4" s="12"/>
      <c r="C4" s="12"/>
      <c r="D4" s="12"/>
      <c r="E4" s="12"/>
      <c r="F4" s="273"/>
      <c r="G4" s="268" t="s">
        <v>1716</v>
      </c>
      <c r="H4" s="268"/>
      <c r="I4" s="268"/>
      <c r="J4" s="268"/>
      <c r="K4" s="268"/>
      <c r="L4" s="268"/>
      <c r="M4" s="268"/>
      <c r="N4" s="268"/>
      <c r="O4" s="268"/>
      <c r="P4" s="268"/>
      <c r="Q4" s="16"/>
      <c r="R4" s="16"/>
      <c r="S4" s="268"/>
      <c r="T4" s="268"/>
      <c r="U4" s="269"/>
      <c r="V4" s="9"/>
      <c r="W4" s="1032" t="s">
        <v>1717</v>
      </c>
      <c r="X4" s="1033"/>
      <c r="Y4" s="1034"/>
      <c r="Z4" s="270" t="s">
        <v>1718</v>
      </c>
      <c r="AA4" s="271" t="s">
        <v>1719</v>
      </c>
    </row>
    <row r="5" spans="1:27" x14ac:dyDescent="0.2">
      <c r="A5" s="272" t="s">
        <v>1720</v>
      </c>
      <c r="B5" s="12"/>
      <c r="C5" s="12"/>
      <c r="D5" s="12"/>
      <c r="E5" s="12"/>
      <c r="F5" s="273"/>
      <c r="G5" s="268" t="s">
        <v>1721</v>
      </c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9"/>
      <c r="V5" s="9"/>
      <c r="W5" s="1032" t="s">
        <v>365</v>
      </c>
      <c r="X5" s="1033"/>
      <c r="Y5" s="1034"/>
      <c r="Z5" s="274" t="s">
        <v>1722</v>
      </c>
      <c r="AA5" s="271" t="s">
        <v>1723</v>
      </c>
    </row>
    <row r="6" spans="1:27" x14ac:dyDescent="0.2">
      <c r="A6" s="272" t="s">
        <v>20</v>
      </c>
      <c r="B6" s="12"/>
      <c r="C6" s="12"/>
      <c r="D6" s="12"/>
      <c r="E6" s="12"/>
      <c r="F6" s="273"/>
      <c r="G6" s="268" t="s">
        <v>1724</v>
      </c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9"/>
      <c r="V6" s="9"/>
      <c r="W6" s="1032" t="s">
        <v>372</v>
      </c>
      <c r="X6" s="1033"/>
      <c r="Y6" s="1034"/>
      <c r="Z6" s="274" t="s">
        <v>1725</v>
      </c>
      <c r="AA6" s="271" t="s">
        <v>1726</v>
      </c>
    </row>
    <row r="7" spans="1:27" x14ac:dyDescent="0.2">
      <c r="A7" s="275" t="s">
        <v>1727</v>
      </c>
      <c r="B7" s="276"/>
      <c r="C7" s="276"/>
      <c r="D7" s="276"/>
      <c r="E7" s="276"/>
      <c r="F7" s="277"/>
      <c r="G7" s="268" t="s">
        <v>1728</v>
      </c>
      <c r="H7" s="268"/>
      <c r="I7" s="268"/>
      <c r="J7" s="268"/>
      <c r="K7" s="268"/>
      <c r="L7" s="268"/>
      <c r="M7" s="268"/>
      <c r="N7" s="268"/>
      <c r="O7" s="278"/>
      <c r="P7" s="278"/>
      <c r="Q7" s="278"/>
      <c r="R7" s="278"/>
      <c r="S7" s="278"/>
      <c r="T7" s="278"/>
      <c r="U7" s="279"/>
      <c r="V7" s="9"/>
      <c r="W7" s="1032" t="s">
        <v>379</v>
      </c>
      <c r="X7" s="1033"/>
      <c r="Y7" s="1034"/>
      <c r="Z7" s="274" t="s">
        <v>1729</v>
      </c>
      <c r="AA7" s="271" t="s">
        <v>1730</v>
      </c>
    </row>
    <row r="8" spans="1:27" x14ac:dyDescent="0.2">
      <c r="A8" s="280" t="s">
        <v>1731</v>
      </c>
      <c r="B8" s="281"/>
      <c r="C8" s="281"/>
      <c r="D8" s="281"/>
      <c r="E8" s="281"/>
      <c r="F8" s="282"/>
      <c r="G8" s="283" t="s">
        <v>1732</v>
      </c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283"/>
      <c r="T8" s="283"/>
      <c r="U8" s="284"/>
      <c r="V8" s="9"/>
      <c r="W8" s="1032" t="s">
        <v>385</v>
      </c>
      <c r="X8" s="1033"/>
      <c r="Y8" s="1034"/>
      <c r="Z8" s="274" t="s">
        <v>1733</v>
      </c>
      <c r="AA8" s="271" t="s">
        <v>1734</v>
      </c>
    </row>
    <row r="9" spans="1:27" x14ac:dyDescent="0.2">
      <c r="A9" s="280" t="s">
        <v>1735</v>
      </c>
      <c r="B9" s="281"/>
      <c r="C9" s="281"/>
      <c r="D9" s="281"/>
      <c r="E9" s="281"/>
      <c r="F9" s="282"/>
      <c r="G9" s="283" t="s">
        <v>1736</v>
      </c>
      <c r="H9" s="283"/>
      <c r="I9" s="283"/>
      <c r="J9" s="283"/>
      <c r="K9" s="283"/>
      <c r="L9" s="283"/>
      <c r="M9" s="283"/>
      <c r="N9" s="283"/>
      <c r="O9" s="283"/>
      <c r="P9" s="283"/>
      <c r="Q9" s="283"/>
      <c r="R9" s="283"/>
      <c r="S9" s="283"/>
      <c r="T9" s="283"/>
      <c r="U9" s="284"/>
      <c r="V9" s="9"/>
      <c r="W9" s="1032" t="s">
        <v>391</v>
      </c>
      <c r="X9" s="1033"/>
      <c r="Y9" s="1034"/>
      <c r="Z9" s="274" t="s">
        <v>1737</v>
      </c>
      <c r="AA9" s="271" t="s">
        <v>1738</v>
      </c>
    </row>
    <row r="10" spans="1:27" x14ac:dyDescent="0.2">
      <c r="A10" s="272" t="s">
        <v>17</v>
      </c>
      <c r="B10" s="9"/>
      <c r="C10" s="9"/>
      <c r="D10" s="9"/>
      <c r="E10" s="9"/>
      <c r="F10" s="10"/>
      <c r="G10" s="285" t="s">
        <v>1739</v>
      </c>
      <c r="H10" s="285"/>
      <c r="I10" s="285"/>
      <c r="J10" s="285"/>
      <c r="K10" s="285"/>
      <c r="L10" s="285"/>
      <c r="M10" s="285"/>
      <c r="N10" s="285"/>
      <c r="O10" s="285"/>
      <c r="P10" s="285"/>
      <c r="Q10" s="285"/>
      <c r="R10" s="285"/>
      <c r="S10" s="285"/>
      <c r="T10" s="285"/>
      <c r="U10" s="286"/>
      <c r="V10" s="9"/>
      <c r="W10" s="1032" t="s">
        <v>398</v>
      </c>
      <c r="X10" s="1033"/>
      <c r="Y10" s="1034"/>
      <c r="Z10" s="274" t="s">
        <v>1740</v>
      </c>
      <c r="AA10" s="271" t="s">
        <v>1741</v>
      </c>
    </row>
    <row r="11" spans="1:27" x14ac:dyDescent="0.2">
      <c r="A11" s="1035" t="s">
        <v>1742</v>
      </c>
      <c r="B11" s="1036"/>
      <c r="C11" s="1036"/>
      <c r="D11" s="1036"/>
      <c r="E11" s="1036"/>
      <c r="F11" s="1037"/>
      <c r="G11" s="1038" t="s">
        <v>1743</v>
      </c>
      <c r="H11" s="1036"/>
      <c r="I11" s="1036"/>
      <c r="J11" s="1036"/>
      <c r="K11" s="1036"/>
      <c r="L11" s="1036"/>
      <c r="M11" s="1036"/>
      <c r="N11" s="1036"/>
      <c r="O11" s="1036"/>
      <c r="P11" s="1036"/>
      <c r="Q11" s="1036"/>
      <c r="R11" s="1036"/>
      <c r="S11" s="1036"/>
      <c r="T11" s="1036"/>
      <c r="U11" s="1037"/>
      <c r="V11" s="9"/>
      <c r="W11" s="1032" t="s">
        <v>412</v>
      </c>
      <c r="X11" s="1033"/>
      <c r="Y11" s="1034"/>
      <c r="Z11" s="270" t="s">
        <v>1744</v>
      </c>
      <c r="AA11" s="271" t="s">
        <v>1745</v>
      </c>
    </row>
    <row r="12" spans="1:27" x14ac:dyDescent="0.2">
      <c r="A12" s="272" t="s">
        <v>107</v>
      </c>
      <c r="B12" s="9"/>
      <c r="C12" s="9"/>
      <c r="D12" s="9"/>
      <c r="E12" s="9"/>
      <c r="F12" s="10"/>
      <c r="G12" s="1039" t="s">
        <v>1746</v>
      </c>
      <c r="H12" s="1040"/>
      <c r="I12" s="1040"/>
      <c r="J12" s="1040"/>
      <c r="K12" s="1040"/>
      <c r="L12" s="1040"/>
      <c r="M12" s="1040"/>
      <c r="N12" s="1040"/>
      <c r="O12" s="1040"/>
      <c r="P12" s="1040"/>
      <c r="Q12" s="1040"/>
      <c r="R12" s="1040"/>
      <c r="S12" s="1040"/>
      <c r="T12" s="1040"/>
      <c r="U12" s="1041"/>
      <c r="V12" s="9"/>
      <c r="W12" s="1032" t="s">
        <v>1747</v>
      </c>
      <c r="X12" s="1033"/>
      <c r="Y12" s="1034"/>
      <c r="Z12" s="270" t="s">
        <v>1748</v>
      </c>
      <c r="AA12" s="271" t="s">
        <v>1749</v>
      </c>
    </row>
    <row r="13" spans="1:27" x14ac:dyDescent="0.2">
      <c r="A13" s="265" t="s">
        <v>108</v>
      </c>
      <c r="B13" s="266"/>
      <c r="C13" s="266"/>
      <c r="D13" s="266"/>
      <c r="E13" s="266"/>
      <c r="F13" s="267"/>
      <c r="G13" s="287" t="s">
        <v>1750</v>
      </c>
      <c r="H13" s="287"/>
      <c r="I13" s="287"/>
      <c r="J13" s="287"/>
      <c r="K13" s="287"/>
      <c r="L13" s="287"/>
      <c r="M13" s="287"/>
      <c r="N13" s="287"/>
      <c r="O13" s="287"/>
      <c r="P13" s="287"/>
      <c r="Q13" s="287"/>
      <c r="R13" s="287"/>
      <c r="S13" s="287"/>
      <c r="T13" s="287"/>
      <c r="U13" s="288"/>
      <c r="V13" s="9"/>
      <c r="W13" s="1032" t="s">
        <v>427</v>
      </c>
      <c r="X13" s="1033"/>
      <c r="Y13" s="1034"/>
      <c r="Z13" s="274" t="s">
        <v>1751</v>
      </c>
      <c r="AA13" s="271" t="s">
        <v>1752</v>
      </c>
    </row>
    <row r="14" spans="1:27" x14ac:dyDescent="0.2">
      <c r="A14" s="272" t="s">
        <v>109</v>
      </c>
      <c r="B14" s="12"/>
      <c r="C14" s="12"/>
      <c r="D14" s="12"/>
      <c r="E14" s="12"/>
      <c r="F14" s="273"/>
      <c r="G14" s="285" t="s">
        <v>1753</v>
      </c>
      <c r="H14" s="285"/>
      <c r="I14" s="285"/>
      <c r="J14" s="285"/>
      <c r="K14" s="285"/>
      <c r="L14" s="285"/>
      <c r="M14" s="285"/>
      <c r="N14" s="285"/>
      <c r="O14" s="285"/>
      <c r="P14" s="285"/>
      <c r="Q14" s="285"/>
      <c r="R14" s="285"/>
      <c r="S14" s="285"/>
      <c r="T14" s="285"/>
      <c r="U14" s="286"/>
      <c r="V14" s="9"/>
      <c r="W14" s="1032" t="s">
        <v>1754</v>
      </c>
      <c r="X14" s="1033"/>
      <c r="Y14" s="1034"/>
      <c r="Z14" s="270" t="s">
        <v>1755</v>
      </c>
      <c r="AA14" s="271" t="s">
        <v>1756</v>
      </c>
    </row>
    <row r="15" spans="1:27" x14ac:dyDescent="0.2">
      <c r="A15" s="272" t="s">
        <v>110</v>
      </c>
      <c r="B15" s="12"/>
      <c r="C15" s="12"/>
      <c r="D15" s="12"/>
      <c r="E15" s="12"/>
      <c r="F15" s="273"/>
      <c r="G15" s="285" t="s">
        <v>1757</v>
      </c>
      <c r="H15" s="285"/>
      <c r="I15" s="285"/>
      <c r="J15" s="285"/>
      <c r="K15" s="285"/>
      <c r="L15" s="285"/>
      <c r="M15" s="285"/>
      <c r="N15" s="285"/>
      <c r="O15" s="285"/>
      <c r="P15" s="285"/>
      <c r="Q15" s="285"/>
      <c r="R15" s="285"/>
      <c r="S15" s="285"/>
      <c r="T15" s="285"/>
      <c r="U15" s="286"/>
      <c r="V15" s="9"/>
      <c r="W15" s="1042" t="s">
        <v>1758</v>
      </c>
      <c r="X15" s="1043"/>
      <c r="Y15" s="1044"/>
      <c r="Z15" s="270" t="s">
        <v>1759</v>
      </c>
      <c r="AA15" s="289" t="s">
        <v>35</v>
      </c>
    </row>
    <row r="16" spans="1:27" x14ac:dyDescent="0.2">
      <c r="A16" s="272" t="s">
        <v>111</v>
      </c>
      <c r="B16" s="12"/>
      <c r="C16" s="12"/>
      <c r="D16" s="12"/>
      <c r="E16" s="12"/>
      <c r="F16" s="273"/>
      <c r="G16" s="285" t="s">
        <v>1760</v>
      </c>
      <c r="H16" s="285"/>
      <c r="I16" s="285"/>
      <c r="J16" s="285"/>
      <c r="K16" s="285"/>
      <c r="L16" s="285"/>
      <c r="M16" s="285"/>
      <c r="N16" s="285"/>
      <c r="O16" s="285"/>
      <c r="P16" s="285"/>
      <c r="Q16" s="285"/>
      <c r="R16" s="285"/>
      <c r="S16" s="285"/>
      <c r="T16" s="285"/>
      <c r="U16" s="286"/>
      <c r="V16" s="9"/>
      <c r="W16" s="1045"/>
      <c r="X16" s="1046"/>
      <c r="Y16" s="1047"/>
      <c r="Z16" s="270" t="s">
        <v>1761</v>
      </c>
      <c r="AA16" s="289" t="s">
        <v>1762</v>
      </c>
    </row>
    <row r="17" spans="1:27" x14ac:dyDescent="0.2">
      <c r="A17" s="272" t="s">
        <v>112</v>
      </c>
      <c r="B17" s="12"/>
      <c r="C17" s="12"/>
      <c r="D17" s="12"/>
      <c r="E17" s="12"/>
      <c r="F17" s="273"/>
      <c r="G17" s="285" t="s">
        <v>1763</v>
      </c>
      <c r="H17" s="285"/>
      <c r="I17" s="285"/>
      <c r="J17" s="285"/>
      <c r="K17" s="285"/>
      <c r="L17" s="285"/>
      <c r="M17" s="285"/>
      <c r="N17" s="285"/>
      <c r="O17" s="285"/>
      <c r="P17" s="285"/>
      <c r="Q17" s="285"/>
      <c r="R17" s="285"/>
      <c r="S17" s="285"/>
      <c r="T17" s="285"/>
      <c r="U17" s="286"/>
      <c r="V17" s="9"/>
      <c r="W17" s="1045"/>
      <c r="X17" s="1046"/>
      <c r="Y17" s="1047"/>
      <c r="Z17" s="270" t="s">
        <v>1764</v>
      </c>
      <c r="AA17" s="289" t="s">
        <v>1765</v>
      </c>
    </row>
    <row r="18" spans="1:27" x14ac:dyDescent="0.2">
      <c r="A18" s="265" t="s">
        <v>109</v>
      </c>
      <c r="B18" s="266"/>
      <c r="C18" s="266"/>
      <c r="D18" s="266"/>
      <c r="E18" s="266"/>
      <c r="F18" s="267"/>
      <c r="G18" s="287" t="s">
        <v>1766</v>
      </c>
      <c r="H18" s="287"/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287"/>
      <c r="T18" s="287"/>
      <c r="U18" s="288"/>
      <c r="V18" s="9"/>
      <c r="W18" s="1045"/>
      <c r="X18" s="1046"/>
      <c r="Y18" s="1047"/>
      <c r="Z18" s="270" t="s">
        <v>1767</v>
      </c>
      <c r="AA18" s="289" t="s">
        <v>1768</v>
      </c>
    </row>
    <row r="19" spans="1:27" x14ac:dyDescent="0.2">
      <c r="A19" s="272" t="s">
        <v>17</v>
      </c>
      <c r="B19" s="12"/>
      <c r="C19" s="12"/>
      <c r="D19" s="12"/>
      <c r="E19" s="12"/>
      <c r="F19" s="273"/>
      <c r="G19" s="1038" t="s">
        <v>1769</v>
      </c>
      <c r="H19" s="1051"/>
      <c r="I19" s="1051"/>
      <c r="J19" s="1051"/>
      <c r="K19" s="1051"/>
      <c r="L19" s="1051"/>
      <c r="M19" s="1051"/>
      <c r="N19" s="1051"/>
      <c r="O19" s="1051"/>
      <c r="P19" s="1051"/>
      <c r="Q19" s="1051"/>
      <c r="R19" s="1051"/>
      <c r="S19" s="1051"/>
      <c r="T19" s="1051"/>
      <c r="U19" s="1052"/>
      <c r="V19" s="9"/>
      <c r="W19" s="1045"/>
      <c r="X19" s="1046"/>
      <c r="Y19" s="1047"/>
      <c r="Z19" s="270" t="s">
        <v>1770</v>
      </c>
      <c r="AA19" s="289" t="s">
        <v>1771</v>
      </c>
    </row>
    <row r="20" spans="1:27" x14ac:dyDescent="0.2">
      <c r="A20" s="272" t="s">
        <v>1772</v>
      </c>
      <c r="B20" s="12"/>
      <c r="C20" s="12"/>
      <c r="D20" s="12"/>
      <c r="E20" s="12"/>
      <c r="F20" s="273"/>
      <c r="G20" s="1038" t="s">
        <v>1773</v>
      </c>
      <c r="H20" s="1051"/>
      <c r="I20" s="1051"/>
      <c r="J20" s="1051"/>
      <c r="K20" s="1051"/>
      <c r="L20" s="1051"/>
      <c r="M20" s="1051"/>
      <c r="N20" s="1051"/>
      <c r="O20" s="1051"/>
      <c r="P20" s="1051"/>
      <c r="Q20" s="1051"/>
      <c r="R20" s="1051"/>
      <c r="S20" s="1051"/>
      <c r="T20" s="1051"/>
      <c r="U20" s="1052"/>
      <c r="V20" s="9"/>
      <c r="W20" s="1045"/>
      <c r="X20" s="1046"/>
      <c r="Y20" s="1047"/>
      <c r="Z20" s="270" t="s">
        <v>1774</v>
      </c>
      <c r="AA20" s="289" t="s">
        <v>1775</v>
      </c>
    </row>
    <row r="21" spans="1:27" x14ac:dyDescent="0.2">
      <c r="A21" s="272" t="s">
        <v>120</v>
      </c>
      <c r="B21" s="12"/>
      <c r="C21" s="12"/>
      <c r="D21" s="12"/>
      <c r="E21" s="12"/>
      <c r="F21" s="273"/>
      <c r="G21" s="285" t="s">
        <v>1776</v>
      </c>
      <c r="H21" s="285"/>
      <c r="I21" s="285"/>
      <c r="J21" s="285"/>
      <c r="K21" s="285"/>
      <c r="L21" s="285"/>
      <c r="M21" s="285"/>
      <c r="N21" s="285"/>
      <c r="O21" s="285"/>
      <c r="P21" s="285"/>
      <c r="Q21" s="285"/>
      <c r="R21" s="285"/>
      <c r="S21" s="285"/>
      <c r="T21" s="285"/>
      <c r="U21" s="286"/>
      <c r="V21" s="9"/>
      <c r="W21" s="1045"/>
      <c r="X21" s="1046"/>
      <c r="Y21" s="1047"/>
      <c r="Z21" s="270" t="s">
        <v>1777</v>
      </c>
      <c r="AA21" s="289" t="s">
        <v>1778</v>
      </c>
    </row>
    <row r="22" spans="1:27" x14ac:dyDescent="0.2">
      <c r="A22" s="265" t="s">
        <v>1779</v>
      </c>
      <c r="B22" s="266"/>
      <c r="C22" s="266"/>
      <c r="D22" s="266"/>
      <c r="E22" s="266"/>
      <c r="F22" s="267"/>
      <c r="G22" s="1053" t="s">
        <v>1780</v>
      </c>
      <c r="H22" s="1054"/>
      <c r="I22" s="1054"/>
      <c r="J22" s="1054"/>
      <c r="K22" s="1054"/>
      <c r="L22" s="1054"/>
      <c r="M22" s="1054"/>
      <c r="N22" s="1054"/>
      <c r="O22" s="1054"/>
      <c r="P22" s="1054"/>
      <c r="Q22" s="1054"/>
      <c r="R22" s="1054"/>
      <c r="S22" s="1054"/>
      <c r="T22" s="1054"/>
      <c r="U22" s="1055"/>
      <c r="V22" s="9"/>
      <c r="W22" s="1045"/>
      <c r="X22" s="1046"/>
      <c r="Y22" s="1047"/>
      <c r="Z22" s="270" t="s">
        <v>1781</v>
      </c>
      <c r="AA22" s="289" t="s">
        <v>1782</v>
      </c>
    </row>
    <row r="23" spans="1:27" x14ac:dyDescent="0.2">
      <c r="A23" s="272" t="s">
        <v>1783</v>
      </c>
      <c r="B23" s="12"/>
      <c r="C23" s="12"/>
      <c r="D23" s="12"/>
      <c r="E23" s="12"/>
      <c r="F23" s="273"/>
      <c r="G23" s="285" t="s">
        <v>1784</v>
      </c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285"/>
      <c r="T23" s="285"/>
      <c r="U23" s="286"/>
      <c r="V23" s="9"/>
      <c r="W23" s="1045"/>
      <c r="X23" s="1046"/>
      <c r="Y23" s="1047"/>
      <c r="Z23" s="270" t="s">
        <v>1785</v>
      </c>
      <c r="AA23" s="289" t="s">
        <v>1786</v>
      </c>
    </row>
    <row r="24" spans="1:27" x14ac:dyDescent="0.2">
      <c r="A24" s="272" t="s">
        <v>1787</v>
      </c>
      <c r="B24" s="12"/>
      <c r="C24" s="12"/>
      <c r="D24" s="12"/>
      <c r="E24" s="12"/>
      <c r="F24" s="273"/>
      <c r="G24" s="285" t="s">
        <v>1788</v>
      </c>
      <c r="H24" s="285"/>
      <c r="I24" s="285"/>
      <c r="J24" s="285"/>
      <c r="K24" s="285"/>
      <c r="L24" s="285"/>
      <c r="M24" s="285"/>
      <c r="N24" s="285"/>
      <c r="O24" s="285"/>
      <c r="P24" s="285"/>
      <c r="Q24" s="285"/>
      <c r="R24" s="285"/>
      <c r="S24" s="285"/>
      <c r="T24" s="285"/>
      <c r="U24" s="286"/>
      <c r="V24" s="9"/>
      <c r="W24" s="1048"/>
      <c r="X24" s="1049"/>
      <c r="Y24" s="1050"/>
      <c r="Z24" s="270" t="s">
        <v>1789</v>
      </c>
      <c r="AA24" s="289" t="s">
        <v>1790</v>
      </c>
    </row>
    <row r="25" spans="1:27" x14ac:dyDescent="0.2">
      <c r="A25" s="272" t="s">
        <v>1791</v>
      </c>
      <c r="B25" s="12"/>
      <c r="C25" s="12"/>
      <c r="D25" s="12"/>
      <c r="E25" s="12"/>
      <c r="F25" s="273"/>
      <c r="G25" s="1038" t="s">
        <v>1792</v>
      </c>
      <c r="H25" s="1051"/>
      <c r="I25" s="1051"/>
      <c r="J25" s="1051"/>
      <c r="K25" s="1051"/>
      <c r="L25" s="1051"/>
      <c r="M25" s="1051"/>
      <c r="N25" s="1051"/>
      <c r="O25" s="1051"/>
      <c r="P25" s="1051"/>
      <c r="Q25" s="1051"/>
      <c r="R25" s="1051"/>
      <c r="S25" s="1051"/>
      <c r="T25" s="1051"/>
      <c r="U25" s="1052"/>
      <c r="V25" s="9"/>
      <c r="W25" s="1032" t="s">
        <v>458</v>
      </c>
      <c r="X25" s="1033"/>
      <c r="Y25" s="1034"/>
      <c r="Z25" s="270" t="s">
        <v>1793</v>
      </c>
      <c r="AA25" s="271">
        <v>139</v>
      </c>
    </row>
    <row r="26" spans="1:27" x14ac:dyDescent="0.2">
      <c r="A26" s="272" t="s">
        <v>1794</v>
      </c>
      <c r="B26" s="12"/>
      <c r="C26" s="12"/>
      <c r="D26" s="12"/>
      <c r="E26" s="12"/>
      <c r="F26" s="273"/>
      <c r="G26" s="285" t="s">
        <v>1795</v>
      </c>
      <c r="H26" s="285"/>
      <c r="I26" s="285"/>
      <c r="J26" s="285"/>
      <c r="K26" s="285"/>
      <c r="L26" s="285"/>
      <c r="M26" s="285"/>
      <c r="N26" s="285"/>
      <c r="O26" s="285"/>
      <c r="P26" s="285"/>
      <c r="Q26" s="285"/>
      <c r="R26" s="285"/>
      <c r="S26" s="285"/>
      <c r="T26" s="285"/>
      <c r="U26" s="286"/>
      <c r="V26" s="9"/>
      <c r="W26" s="1032" t="s">
        <v>466</v>
      </c>
      <c r="X26" s="1033"/>
      <c r="Y26" s="1034"/>
      <c r="Z26" s="270" t="s">
        <v>1796</v>
      </c>
      <c r="AA26" s="271">
        <v>138</v>
      </c>
    </row>
    <row r="27" spans="1:27" x14ac:dyDescent="0.2">
      <c r="A27" s="265" t="s">
        <v>1797</v>
      </c>
      <c r="B27" s="266"/>
      <c r="C27" s="266"/>
      <c r="D27" s="266"/>
      <c r="E27" s="266"/>
      <c r="F27" s="267"/>
      <c r="G27" s="287" t="s">
        <v>1798</v>
      </c>
      <c r="H27" s="287"/>
      <c r="I27" s="287"/>
      <c r="J27" s="287"/>
      <c r="K27" s="287"/>
      <c r="L27" s="287"/>
      <c r="M27" s="287"/>
      <c r="N27" s="287"/>
      <c r="O27" s="287"/>
      <c r="P27" s="287"/>
      <c r="Q27" s="287"/>
      <c r="R27" s="287"/>
      <c r="S27" s="287"/>
      <c r="T27" s="287"/>
      <c r="U27" s="288"/>
      <c r="V27" s="9"/>
      <c r="W27" s="1032" t="s">
        <v>474</v>
      </c>
      <c r="X27" s="1033"/>
      <c r="Y27" s="1034"/>
      <c r="Z27" s="270" t="s">
        <v>1799</v>
      </c>
      <c r="AA27" s="271">
        <v>140</v>
      </c>
    </row>
    <row r="28" spans="1:27" x14ac:dyDescent="0.2">
      <c r="A28" s="272" t="s">
        <v>1779</v>
      </c>
      <c r="B28" s="12"/>
      <c r="C28" s="12"/>
      <c r="D28" s="12"/>
      <c r="E28" s="12"/>
      <c r="F28" s="273"/>
      <c r="G28" s="285" t="s">
        <v>1800</v>
      </c>
      <c r="H28" s="285"/>
      <c r="I28" s="285"/>
      <c r="J28" s="285"/>
      <c r="K28" s="285"/>
      <c r="L28" s="285"/>
      <c r="M28" s="285"/>
      <c r="N28" s="285"/>
      <c r="O28" s="285"/>
      <c r="P28" s="285"/>
      <c r="Q28" s="285"/>
      <c r="R28" s="285"/>
      <c r="S28" s="285"/>
      <c r="T28" s="285"/>
      <c r="U28" s="286"/>
      <c r="V28" s="9"/>
      <c r="W28" s="1032" t="s">
        <v>511</v>
      </c>
      <c r="X28" s="1033"/>
      <c r="Y28" s="1034"/>
      <c r="Z28" s="270" t="s">
        <v>1801</v>
      </c>
      <c r="AA28" s="271">
        <v>141</v>
      </c>
    </row>
    <row r="29" spans="1:27" x14ac:dyDescent="0.2">
      <c r="A29" s="272" t="s">
        <v>1802</v>
      </c>
      <c r="B29" s="12"/>
      <c r="C29" s="12"/>
      <c r="D29" s="12"/>
      <c r="E29" s="12"/>
      <c r="F29" s="273"/>
      <c r="G29" s="1038" t="s">
        <v>1803</v>
      </c>
      <c r="H29" s="1051"/>
      <c r="I29" s="1051"/>
      <c r="J29" s="1051"/>
      <c r="K29" s="1051"/>
      <c r="L29" s="1051"/>
      <c r="M29" s="1051"/>
      <c r="N29" s="1051"/>
      <c r="O29" s="1051"/>
      <c r="P29" s="1051"/>
      <c r="Q29" s="1051"/>
      <c r="R29" s="1051"/>
      <c r="S29" s="1051"/>
      <c r="T29" s="1051"/>
      <c r="U29" s="1052"/>
      <c r="V29" s="9"/>
      <c r="W29" s="1032" t="s">
        <v>526</v>
      </c>
      <c r="X29" s="1033"/>
      <c r="Y29" s="1034"/>
      <c r="Z29" s="270" t="s">
        <v>1804</v>
      </c>
      <c r="AA29" s="271" t="s">
        <v>35</v>
      </c>
    </row>
    <row r="30" spans="1:27" x14ac:dyDescent="0.2">
      <c r="A30" s="272" t="s">
        <v>136</v>
      </c>
      <c r="B30" s="12"/>
      <c r="C30" s="12"/>
      <c r="D30" s="12"/>
      <c r="E30" s="12"/>
      <c r="F30" s="273"/>
      <c r="G30" s="1038" t="s">
        <v>1805</v>
      </c>
      <c r="H30" s="1051"/>
      <c r="I30" s="1051"/>
      <c r="J30" s="1051"/>
      <c r="K30" s="1051"/>
      <c r="L30" s="1051"/>
      <c r="M30" s="1051"/>
      <c r="N30" s="1051"/>
      <c r="O30" s="1051"/>
      <c r="P30" s="1051"/>
      <c r="Q30" s="1051"/>
      <c r="R30" s="1051"/>
      <c r="S30" s="1051"/>
      <c r="T30" s="1051"/>
      <c r="U30" s="1052"/>
      <c r="V30" s="9"/>
      <c r="W30" s="1032" t="s">
        <v>532</v>
      </c>
      <c r="X30" s="1033"/>
      <c r="Y30" s="1034"/>
      <c r="Z30" s="270" t="s">
        <v>1806</v>
      </c>
      <c r="AA30" s="271">
        <v>150</v>
      </c>
    </row>
    <row r="31" spans="1:27" x14ac:dyDescent="0.2">
      <c r="A31" s="272" t="s">
        <v>1807</v>
      </c>
      <c r="B31" s="12"/>
      <c r="C31" s="12"/>
      <c r="D31" s="12"/>
      <c r="E31" s="12"/>
      <c r="F31" s="273"/>
      <c r="G31" s="1038" t="s">
        <v>1808</v>
      </c>
      <c r="H31" s="1051"/>
      <c r="I31" s="1051"/>
      <c r="J31" s="1051"/>
      <c r="K31" s="1051"/>
      <c r="L31" s="1051"/>
      <c r="M31" s="1051"/>
      <c r="N31" s="1051"/>
      <c r="O31" s="1051"/>
      <c r="P31" s="1051"/>
      <c r="Q31" s="1051"/>
      <c r="R31" s="1051"/>
      <c r="S31" s="1051"/>
      <c r="T31" s="1051"/>
      <c r="U31" s="1052"/>
      <c r="V31" s="9"/>
      <c r="W31" s="1042" t="s">
        <v>537</v>
      </c>
      <c r="X31" s="1043"/>
      <c r="Y31" s="1044"/>
      <c r="Z31" s="274" t="s">
        <v>1809</v>
      </c>
      <c r="AA31" s="289" t="s">
        <v>35</v>
      </c>
    </row>
    <row r="32" spans="1:27" x14ac:dyDescent="0.2">
      <c r="A32" s="272" t="s">
        <v>137</v>
      </c>
      <c r="B32" s="12"/>
      <c r="C32" s="12"/>
      <c r="D32" s="12"/>
      <c r="E32" s="12"/>
      <c r="F32" s="273"/>
      <c r="G32" s="1038" t="s">
        <v>1810</v>
      </c>
      <c r="H32" s="1051"/>
      <c r="I32" s="1051"/>
      <c r="J32" s="1051"/>
      <c r="K32" s="1051"/>
      <c r="L32" s="1051"/>
      <c r="M32" s="1051"/>
      <c r="N32" s="1051"/>
      <c r="O32" s="1051"/>
      <c r="P32" s="1051"/>
      <c r="Q32" s="1051"/>
      <c r="R32" s="1051"/>
      <c r="S32" s="1051"/>
      <c r="T32" s="1051"/>
      <c r="U32" s="1052"/>
      <c r="V32" s="9"/>
      <c r="W32" s="1045"/>
      <c r="X32" s="1046"/>
      <c r="Y32" s="1047"/>
      <c r="Z32" s="270" t="s">
        <v>1811</v>
      </c>
      <c r="AA32" s="289" t="s">
        <v>1812</v>
      </c>
    </row>
    <row r="33" spans="1:27" x14ac:dyDescent="0.2">
      <c r="A33" s="272" t="s">
        <v>138</v>
      </c>
      <c r="B33" s="12"/>
      <c r="C33" s="12"/>
      <c r="D33" s="12"/>
      <c r="E33" s="12"/>
      <c r="F33" s="273"/>
      <c r="G33" s="1038" t="s">
        <v>1813</v>
      </c>
      <c r="H33" s="1051"/>
      <c r="I33" s="1051"/>
      <c r="J33" s="1051"/>
      <c r="K33" s="1051"/>
      <c r="L33" s="1051"/>
      <c r="M33" s="1051"/>
      <c r="N33" s="1051"/>
      <c r="O33" s="1051"/>
      <c r="P33" s="1051"/>
      <c r="Q33" s="1051"/>
      <c r="R33" s="1051"/>
      <c r="S33" s="1051"/>
      <c r="T33" s="1051"/>
      <c r="U33" s="1052"/>
      <c r="V33" s="9"/>
      <c r="W33" s="1045"/>
      <c r="X33" s="1046"/>
      <c r="Y33" s="1047"/>
      <c r="Z33" s="270" t="s">
        <v>1814</v>
      </c>
      <c r="AA33" s="289" t="s">
        <v>1815</v>
      </c>
    </row>
    <row r="34" spans="1:27" x14ac:dyDescent="0.2">
      <c r="A34" s="272" t="s">
        <v>1816</v>
      </c>
      <c r="B34" s="12"/>
      <c r="C34" s="12"/>
      <c r="D34" s="12"/>
      <c r="E34" s="12"/>
      <c r="F34" s="273"/>
      <c r="G34" s="1038" t="s">
        <v>1817</v>
      </c>
      <c r="H34" s="1051"/>
      <c r="I34" s="1051"/>
      <c r="J34" s="1051"/>
      <c r="K34" s="1051"/>
      <c r="L34" s="1051"/>
      <c r="M34" s="1051"/>
      <c r="N34" s="1051"/>
      <c r="O34" s="1051"/>
      <c r="P34" s="1051"/>
      <c r="Q34" s="1051"/>
      <c r="R34" s="1051"/>
      <c r="S34" s="1051"/>
      <c r="T34" s="1051"/>
      <c r="U34" s="1052"/>
      <c r="V34" s="9"/>
      <c r="W34" s="1045"/>
      <c r="X34" s="1046"/>
      <c r="Y34" s="1047"/>
      <c r="Z34" s="274" t="s">
        <v>1818</v>
      </c>
      <c r="AA34" s="289" t="s">
        <v>1819</v>
      </c>
    </row>
    <row r="35" spans="1:27" x14ac:dyDescent="0.2">
      <c r="A35" s="272" t="s">
        <v>139</v>
      </c>
      <c r="B35" s="12"/>
      <c r="C35" s="12"/>
      <c r="D35" s="12"/>
      <c r="E35" s="12"/>
      <c r="F35" s="273"/>
      <c r="G35" s="290" t="s">
        <v>1820</v>
      </c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2"/>
      <c r="V35" s="9"/>
      <c r="W35" s="1045"/>
      <c r="X35" s="1046"/>
      <c r="Y35" s="1047"/>
      <c r="Z35" s="274" t="s">
        <v>1821</v>
      </c>
      <c r="AA35" s="289" t="s">
        <v>1822</v>
      </c>
    </row>
    <row r="36" spans="1:27" x14ac:dyDescent="0.2">
      <c r="A36" s="275" t="s">
        <v>1823</v>
      </c>
      <c r="B36" s="276"/>
      <c r="C36" s="276"/>
      <c r="D36" s="276"/>
      <c r="E36" s="276"/>
      <c r="F36" s="277"/>
      <c r="G36" s="1056" t="s">
        <v>1824</v>
      </c>
      <c r="H36" s="1057"/>
      <c r="I36" s="1057"/>
      <c r="J36" s="1057"/>
      <c r="K36" s="1057"/>
      <c r="L36" s="1057"/>
      <c r="M36" s="1057"/>
      <c r="N36" s="1057"/>
      <c r="O36" s="1057"/>
      <c r="P36" s="1057"/>
      <c r="Q36" s="1057"/>
      <c r="R36" s="1057"/>
      <c r="S36" s="1057"/>
      <c r="T36" s="1057"/>
      <c r="U36" s="1058"/>
      <c r="V36" s="9"/>
      <c r="W36" s="1032" t="s">
        <v>549</v>
      </c>
      <c r="X36" s="1033"/>
      <c r="Y36" s="1034"/>
      <c r="Z36" s="270" t="s">
        <v>1825</v>
      </c>
      <c r="AA36" s="271">
        <v>142</v>
      </c>
    </row>
    <row r="37" spans="1:27" x14ac:dyDescent="0.2">
      <c r="A37" s="272" t="s">
        <v>1826</v>
      </c>
      <c r="B37" s="12"/>
      <c r="C37" s="12"/>
      <c r="D37" s="12"/>
      <c r="E37" s="12"/>
      <c r="F37" s="273"/>
      <c r="G37" s="285" t="s">
        <v>1827</v>
      </c>
      <c r="H37" s="285"/>
      <c r="I37" s="285"/>
      <c r="J37" s="285"/>
      <c r="K37" s="285"/>
      <c r="L37" s="285"/>
      <c r="M37" s="285"/>
      <c r="N37" s="285"/>
      <c r="O37" s="285"/>
      <c r="P37" s="285"/>
      <c r="Q37" s="285"/>
      <c r="R37" s="285"/>
      <c r="S37" s="285"/>
      <c r="T37" s="285"/>
      <c r="U37" s="286"/>
      <c r="V37" s="9"/>
      <c r="W37" s="1032" t="s">
        <v>554</v>
      </c>
      <c r="X37" s="1033"/>
      <c r="Y37" s="1034"/>
      <c r="Z37" s="274" t="s">
        <v>1828</v>
      </c>
      <c r="AA37" s="271">
        <v>155</v>
      </c>
    </row>
    <row r="38" spans="1:27" x14ac:dyDescent="0.2">
      <c r="A38" s="272" t="s">
        <v>1829</v>
      </c>
      <c r="B38" s="12"/>
      <c r="C38" s="12"/>
      <c r="D38" s="12"/>
      <c r="E38" s="12"/>
      <c r="F38" s="273"/>
      <c r="G38" s="285" t="s">
        <v>1830</v>
      </c>
      <c r="H38" s="285"/>
      <c r="I38" s="285"/>
      <c r="J38" s="285"/>
      <c r="K38" s="285"/>
      <c r="L38" s="285"/>
      <c r="M38" s="285"/>
      <c r="N38" s="285"/>
      <c r="O38" s="285"/>
      <c r="P38" s="285"/>
      <c r="Q38" s="285"/>
      <c r="R38" s="285"/>
      <c r="S38" s="285"/>
      <c r="T38" s="285"/>
      <c r="U38" s="286"/>
      <c r="V38" s="9"/>
      <c r="W38" s="1032" t="s">
        <v>559</v>
      </c>
      <c r="X38" s="1033"/>
      <c r="Y38" s="1034"/>
      <c r="Z38" s="274" t="s">
        <v>1831</v>
      </c>
      <c r="AA38" s="271">
        <v>143</v>
      </c>
    </row>
    <row r="39" spans="1:27" x14ac:dyDescent="0.2">
      <c r="A39" s="265" t="s">
        <v>1832</v>
      </c>
      <c r="B39" s="266"/>
      <c r="C39" s="266"/>
      <c r="D39" s="266"/>
      <c r="E39" s="266"/>
      <c r="F39" s="267"/>
      <c r="G39" s="1059" t="s">
        <v>1833</v>
      </c>
      <c r="H39" s="1060"/>
      <c r="I39" s="1060"/>
      <c r="J39" s="1060"/>
      <c r="K39" s="1060"/>
      <c r="L39" s="1060"/>
      <c r="M39" s="1060"/>
      <c r="N39" s="1060"/>
      <c r="O39" s="1060"/>
      <c r="P39" s="1060"/>
      <c r="Q39" s="1060"/>
      <c r="R39" s="1060"/>
      <c r="S39" s="1060"/>
      <c r="T39" s="1060"/>
      <c r="U39" s="1061"/>
      <c r="V39" s="9"/>
      <c r="W39" s="1032" t="s">
        <v>574</v>
      </c>
      <c r="X39" s="1033"/>
      <c r="Y39" s="1034"/>
      <c r="Z39" s="274" t="s">
        <v>1834</v>
      </c>
      <c r="AA39" s="271">
        <v>145</v>
      </c>
    </row>
    <row r="40" spans="1:27" x14ac:dyDescent="0.2">
      <c r="A40" s="272" t="s">
        <v>1835</v>
      </c>
      <c r="B40" s="12"/>
      <c r="C40" s="12"/>
      <c r="D40" s="12"/>
      <c r="E40" s="12"/>
      <c r="F40" s="273"/>
      <c r="G40" s="1062" t="s">
        <v>1836</v>
      </c>
      <c r="H40" s="1063"/>
      <c r="I40" s="1063"/>
      <c r="J40" s="1063"/>
      <c r="K40" s="1063"/>
      <c r="L40" s="1063"/>
      <c r="M40" s="1063"/>
      <c r="N40" s="1063"/>
      <c r="O40" s="1063"/>
      <c r="P40" s="1063"/>
      <c r="Q40" s="1063"/>
      <c r="R40" s="1063"/>
      <c r="S40" s="1063"/>
      <c r="T40" s="1063"/>
      <c r="U40" s="1064"/>
      <c r="V40" s="9"/>
      <c r="W40" s="1032" t="s">
        <v>564</v>
      </c>
      <c r="X40" s="1033"/>
      <c r="Y40" s="1034"/>
      <c r="Z40" s="274" t="s">
        <v>1837</v>
      </c>
      <c r="AA40" s="271">
        <v>144</v>
      </c>
    </row>
    <row r="41" spans="1:27" x14ac:dyDescent="0.2">
      <c r="A41" s="272" t="s">
        <v>116</v>
      </c>
      <c r="B41" s="12"/>
      <c r="C41" s="12"/>
      <c r="D41" s="12"/>
      <c r="E41" s="12"/>
      <c r="F41" s="273"/>
      <c r="G41" s="293" t="s">
        <v>1838</v>
      </c>
      <c r="H41" s="293"/>
      <c r="I41" s="293"/>
      <c r="J41" s="293"/>
      <c r="K41" s="293"/>
      <c r="L41" s="293"/>
      <c r="M41" s="293"/>
      <c r="N41" s="293"/>
      <c r="O41" s="293"/>
      <c r="P41" s="293"/>
      <c r="Q41" s="293"/>
      <c r="R41" s="293"/>
      <c r="S41" s="293"/>
      <c r="T41" s="293"/>
      <c r="U41" s="294"/>
      <c r="V41" s="9"/>
      <c r="W41" s="1032" t="s">
        <v>569</v>
      </c>
      <c r="X41" s="1033"/>
      <c r="Y41" s="1034"/>
      <c r="Z41" s="274" t="s">
        <v>1839</v>
      </c>
      <c r="AA41" s="271">
        <v>146</v>
      </c>
    </row>
    <row r="42" spans="1:27" x14ac:dyDescent="0.2">
      <c r="A42" s="272" t="s">
        <v>117</v>
      </c>
      <c r="B42" s="12"/>
      <c r="C42" s="12"/>
      <c r="D42" s="12"/>
      <c r="E42" s="12"/>
      <c r="F42" s="273"/>
      <c r="G42" s="293" t="s">
        <v>1840</v>
      </c>
      <c r="H42" s="293"/>
      <c r="I42" s="293"/>
      <c r="J42" s="293"/>
      <c r="K42" s="293"/>
      <c r="L42" s="293"/>
      <c r="M42" s="293"/>
      <c r="N42" s="293"/>
      <c r="O42" s="293"/>
      <c r="P42" s="293"/>
      <c r="Q42" s="293"/>
      <c r="R42" s="293"/>
      <c r="S42" s="293"/>
      <c r="T42" s="293"/>
      <c r="U42" s="294"/>
      <c r="V42" s="9"/>
      <c r="W42" s="1032" t="s">
        <v>580</v>
      </c>
      <c r="X42" s="1033"/>
      <c r="Y42" s="1034"/>
      <c r="Z42" s="274" t="s">
        <v>1841</v>
      </c>
      <c r="AA42" s="271">
        <v>169</v>
      </c>
    </row>
    <row r="43" spans="1:27" x14ac:dyDescent="0.2">
      <c r="A43" s="275" t="s">
        <v>118</v>
      </c>
      <c r="B43" s="276"/>
      <c r="C43" s="276"/>
      <c r="D43" s="276"/>
      <c r="E43" s="276"/>
      <c r="F43" s="277"/>
      <c r="G43" s="1065" t="s">
        <v>1842</v>
      </c>
      <c r="H43" s="1066"/>
      <c r="I43" s="1066"/>
      <c r="J43" s="1066"/>
      <c r="K43" s="1066"/>
      <c r="L43" s="1066"/>
      <c r="M43" s="1066"/>
      <c r="N43" s="1066"/>
      <c r="O43" s="1066"/>
      <c r="P43" s="1066"/>
      <c r="Q43" s="1066"/>
      <c r="R43" s="1066"/>
      <c r="S43" s="1066"/>
      <c r="T43" s="1066"/>
      <c r="U43" s="1067"/>
      <c r="V43" s="9"/>
      <c r="W43" s="1032" t="s">
        <v>585</v>
      </c>
      <c r="X43" s="1033"/>
      <c r="Y43" s="1034"/>
      <c r="Z43" s="274" t="s">
        <v>1843</v>
      </c>
      <c r="AA43" s="271">
        <v>147</v>
      </c>
    </row>
    <row r="44" spans="1:27" x14ac:dyDescent="0.2">
      <c r="A44" s="265" t="s">
        <v>1844</v>
      </c>
      <c r="B44" s="266"/>
      <c r="C44" s="266"/>
      <c r="D44" s="266"/>
      <c r="E44" s="266"/>
      <c r="F44" s="267"/>
      <c r="G44" s="287" t="s">
        <v>1845</v>
      </c>
      <c r="H44" s="287"/>
      <c r="I44" s="287"/>
      <c r="J44" s="287"/>
      <c r="K44" s="287"/>
      <c r="L44" s="287"/>
      <c r="M44" s="287"/>
      <c r="N44" s="287"/>
      <c r="O44" s="287"/>
      <c r="P44" s="287"/>
      <c r="Q44" s="295"/>
      <c r="R44" s="295"/>
      <c r="S44" s="295"/>
      <c r="T44" s="295"/>
      <c r="U44" s="296"/>
      <c r="V44" s="9"/>
      <c r="W44" s="1032" t="s">
        <v>597</v>
      </c>
      <c r="X44" s="1033"/>
      <c r="Y44" s="1034"/>
      <c r="Z44" s="274" t="s">
        <v>1846</v>
      </c>
      <c r="AA44" s="271">
        <v>148</v>
      </c>
    </row>
    <row r="45" spans="1:27" x14ac:dyDescent="0.2">
      <c r="A45" s="275" t="s">
        <v>1847</v>
      </c>
      <c r="B45" s="276"/>
      <c r="C45" s="276"/>
      <c r="D45" s="276"/>
      <c r="E45" s="276"/>
      <c r="F45" s="277"/>
      <c r="G45" s="297" t="s">
        <v>1848</v>
      </c>
      <c r="H45" s="297"/>
      <c r="I45" s="297"/>
      <c r="J45" s="297"/>
      <c r="K45" s="297"/>
      <c r="L45" s="297"/>
      <c r="M45" s="297"/>
      <c r="N45" s="297"/>
      <c r="O45" s="297"/>
      <c r="P45" s="297"/>
      <c r="Q45" s="298"/>
      <c r="R45" s="298"/>
      <c r="S45" s="298"/>
      <c r="T45" s="298"/>
      <c r="U45" s="299"/>
      <c r="V45" s="9"/>
      <c r="W45" s="1032" t="s">
        <v>603</v>
      </c>
      <c r="X45" s="1033"/>
      <c r="Y45" s="1034"/>
      <c r="Z45" s="274" t="s">
        <v>1849</v>
      </c>
      <c r="AA45" s="271">
        <v>149</v>
      </c>
    </row>
    <row r="46" spans="1:27" x14ac:dyDescent="0.2">
      <c r="A46" s="272" t="s">
        <v>1850</v>
      </c>
      <c r="B46" s="12"/>
      <c r="C46" s="12"/>
      <c r="D46" s="12"/>
      <c r="E46" s="12"/>
      <c r="F46" s="273"/>
      <c r="G46" s="285" t="s">
        <v>1851</v>
      </c>
      <c r="H46" s="285"/>
      <c r="I46" s="285"/>
      <c r="J46" s="285"/>
      <c r="K46" s="285"/>
      <c r="L46" s="285"/>
      <c r="M46" s="285"/>
      <c r="N46" s="285"/>
      <c r="O46" s="285"/>
      <c r="P46" s="285"/>
      <c r="Q46" s="293"/>
      <c r="R46" s="293"/>
      <c r="S46" s="293"/>
      <c r="T46" s="293"/>
      <c r="U46" s="294"/>
      <c r="V46" s="9"/>
      <c r="W46" s="1032" t="s">
        <v>615</v>
      </c>
      <c r="X46" s="1033"/>
      <c r="Y46" s="1034"/>
      <c r="Z46" s="274" t="s">
        <v>1852</v>
      </c>
      <c r="AA46" s="271">
        <v>151</v>
      </c>
    </row>
    <row r="47" spans="1:27" x14ac:dyDescent="0.2">
      <c r="A47" s="272" t="s">
        <v>1853</v>
      </c>
      <c r="B47" s="12"/>
      <c r="C47" s="12"/>
      <c r="D47" s="12"/>
      <c r="E47" s="12"/>
      <c r="F47" s="273"/>
      <c r="G47" s="285" t="s">
        <v>1854</v>
      </c>
      <c r="H47" s="285"/>
      <c r="I47" s="285"/>
      <c r="J47" s="285"/>
      <c r="K47" s="285"/>
      <c r="L47" s="285"/>
      <c r="M47" s="285"/>
      <c r="N47" s="285"/>
      <c r="O47" s="285"/>
      <c r="P47" s="285"/>
      <c r="Q47" s="293"/>
      <c r="R47" s="293"/>
      <c r="S47" s="293"/>
      <c r="T47" s="293"/>
      <c r="U47" s="294"/>
      <c r="V47" s="9"/>
      <c r="W47" s="1032" t="s">
        <v>621</v>
      </c>
      <c r="X47" s="1033"/>
      <c r="Y47" s="1034"/>
      <c r="Z47" s="274" t="s">
        <v>1855</v>
      </c>
      <c r="AA47" s="271">
        <v>152</v>
      </c>
    </row>
    <row r="48" spans="1:27" x14ac:dyDescent="0.2">
      <c r="A48" s="272" t="s">
        <v>1856</v>
      </c>
      <c r="B48" s="12"/>
      <c r="C48" s="12"/>
      <c r="D48" s="12"/>
      <c r="E48" s="12"/>
      <c r="F48" s="273"/>
      <c r="G48" s="285" t="s">
        <v>1857</v>
      </c>
      <c r="H48" s="285"/>
      <c r="I48" s="285"/>
      <c r="J48" s="285"/>
      <c r="K48" s="285"/>
      <c r="L48" s="285"/>
      <c r="M48" s="285"/>
      <c r="N48" s="285"/>
      <c r="O48" s="285"/>
      <c r="P48" s="285"/>
      <c r="Q48" s="293"/>
      <c r="R48" s="293"/>
      <c r="S48" s="293"/>
      <c r="T48" s="293"/>
      <c r="U48" s="294"/>
      <c r="V48" s="9"/>
      <c r="W48" s="1032" t="s">
        <v>633</v>
      </c>
      <c r="X48" s="1033"/>
      <c r="Y48" s="1034"/>
      <c r="Z48" s="274" t="s">
        <v>1858</v>
      </c>
      <c r="AA48" s="271">
        <v>154</v>
      </c>
    </row>
    <row r="49" spans="1:27" x14ac:dyDescent="0.2">
      <c r="A49" s="272" t="s">
        <v>1859</v>
      </c>
      <c r="B49" s="12"/>
      <c r="C49" s="12"/>
      <c r="D49" s="12"/>
      <c r="E49" s="12"/>
      <c r="F49" s="273"/>
      <c r="G49" s="285" t="s">
        <v>1860</v>
      </c>
      <c r="H49" s="285"/>
      <c r="I49" s="285"/>
      <c r="J49" s="285"/>
      <c r="K49" s="285"/>
      <c r="L49" s="285"/>
      <c r="M49" s="285"/>
      <c r="N49" s="285"/>
      <c r="O49" s="285"/>
      <c r="P49" s="285"/>
      <c r="Q49" s="293"/>
      <c r="R49" s="293"/>
      <c r="S49" s="293"/>
      <c r="T49" s="293"/>
      <c r="U49" s="294"/>
      <c r="V49" s="9"/>
      <c r="W49" s="1032" t="s">
        <v>1861</v>
      </c>
      <c r="X49" s="1033"/>
      <c r="Y49" s="1034"/>
      <c r="Z49" s="274" t="s">
        <v>1862</v>
      </c>
      <c r="AA49" s="271">
        <v>153</v>
      </c>
    </row>
    <row r="50" spans="1:27" x14ac:dyDescent="0.2">
      <c r="A50" s="272" t="s">
        <v>1863</v>
      </c>
      <c r="B50" s="12"/>
      <c r="C50" s="12"/>
      <c r="D50" s="12"/>
      <c r="E50" s="12"/>
      <c r="F50" s="273"/>
      <c r="G50" s="285" t="s">
        <v>1864</v>
      </c>
      <c r="H50" s="285"/>
      <c r="I50" s="285"/>
      <c r="J50" s="285"/>
      <c r="K50" s="285"/>
      <c r="L50" s="285"/>
      <c r="M50" s="285"/>
      <c r="N50" s="285"/>
      <c r="O50" s="285"/>
      <c r="P50" s="285"/>
      <c r="Q50" s="293"/>
      <c r="R50" s="293"/>
      <c r="S50" s="293"/>
      <c r="T50" s="293"/>
      <c r="U50" s="294"/>
      <c r="V50" s="9"/>
      <c r="W50" s="1032" t="s">
        <v>639</v>
      </c>
      <c r="X50" s="1033"/>
      <c r="Y50" s="1034"/>
      <c r="Z50" s="274" t="s">
        <v>1865</v>
      </c>
      <c r="AA50" s="271" t="s">
        <v>35</v>
      </c>
    </row>
    <row r="51" spans="1:27" x14ac:dyDescent="0.2">
      <c r="A51" s="272" t="s">
        <v>1866</v>
      </c>
      <c r="B51" s="12"/>
      <c r="C51" s="12"/>
      <c r="D51" s="12"/>
      <c r="E51" s="12"/>
      <c r="F51" s="273"/>
      <c r="G51" s="285" t="s">
        <v>1867</v>
      </c>
      <c r="H51" s="285"/>
      <c r="I51" s="285"/>
      <c r="J51" s="285"/>
      <c r="K51" s="285"/>
      <c r="L51" s="285"/>
      <c r="M51" s="285"/>
      <c r="N51" s="285"/>
      <c r="O51" s="285"/>
      <c r="P51" s="285"/>
      <c r="Q51" s="293"/>
      <c r="R51" s="293"/>
      <c r="S51" s="293"/>
      <c r="T51" s="293"/>
      <c r="U51" s="294" t="s">
        <v>1868</v>
      </c>
      <c r="V51" s="9"/>
      <c r="W51" s="1032" t="s">
        <v>644</v>
      </c>
      <c r="X51" s="1033"/>
      <c r="Y51" s="1034"/>
      <c r="Z51" s="274" t="s">
        <v>1869</v>
      </c>
      <c r="AA51" s="271" t="s">
        <v>35</v>
      </c>
    </row>
    <row r="52" spans="1:27" x14ac:dyDescent="0.2">
      <c r="A52" s="272" t="s">
        <v>1870</v>
      </c>
      <c r="B52" s="12"/>
      <c r="C52" s="12"/>
      <c r="D52" s="12"/>
      <c r="E52" s="12"/>
      <c r="F52" s="273"/>
      <c r="G52" s="285" t="s">
        <v>1871</v>
      </c>
      <c r="H52" s="285"/>
      <c r="I52" s="285"/>
      <c r="J52" s="285"/>
      <c r="K52" s="285"/>
      <c r="L52" s="285"/>
      <c r="M52" s="285"/>
      <c r="N52" s="285"/>
      <c r="O52" s="285"/>
      <c r="P52" s="285"/>
      <c r="Q52" s="293"/>
      <c r="R52" s="293"/>
      <c r="S52" s="293"/>
      <c r="T52" s="293"/>
      <c r="U52" s="294"/>
      <c r="V52" s="9"/>
      <c r="W52" s="1032" t="s">
        <v>648</v>
      </c>
      <c r="X52" s="1033"/>
      <c r="Y52" s="1034"/>
      <c r="Z52" s="274" t="s">
        <v>1872</v>
      </c>
      <c r="AA52" s="271" t="s">
        <v>22</v>
      </c>
    </row>
    <row r="53" spans="1:27" x14ac:dyDescent="0.2">
      <c r="A53" s="272" t="s">
        <v>1873</v>
      </c>
      <c r="B53" s="12"/>
      <c r="C53" s="12"/>
      <c r="D53" s="12"/>
      <c r="E53" s="12"/>
      <c r="F53" s="273"/>
      <c r="G53" s="285" t="s">
        <v>1874</v>
      </c>
      <c r="H53" s="285"/>
      <c r="I53" s="285"/>
      <c r="J53" s="285"/>
      <c r="K53" s="285"/>
      <c r="L53" s="285"/>
      <c r="M53" s="285"/>
      <c r="N53" s="285"/>
      <c r="O53" s="285"/>
      <c r="P53" s="285"/>
      <c r="Q53" s="293"/>
      <c r="R53" s="293"/>
      <c r="S53" s="293"/>
      <c r="T53" s="293"/>
      <c r="U53" s="294"/>
      <c r="V53" s="9"/>
      <c r="W53" s="1032" t="s">
        <v>656</v>
      </c>
      <c r="X53" s="1033"/>
      <c r="Y53" s="1034"/>
      <c r="Z53" s="274" t="s">
        <v>1875</v>
      </c>
      <c r="AA53" s="271">
        <v>156</v>
      </c>
    </row>
    <row r="54" spans="1:27" x14ac:dyDescent="0.2">
      <c r="A54" s="272" t="s">
        <v>1876</v>
      </c>
      <c r="B54" s="12"/>
      <c r="C54" s="12"/>
      <c r="D54" s="12"/>
      <c r="E54" s="12"/>
      <c r="F54" s="273"/>
      <c r="G54" s="285" t="s">
        <v>1877</v>
      </c>
      <c r="H54" s="285"/>
      <c r="I54" s="285"/>
      <c r="J54" s="285"/>
      <c r="K54" s="285"/>
      <c r="L54" s="285"/>
      <c r="M54" s="285"/>
      <c r="N54" s="285"/>
      <c r="O54" s="285"/>
      <c r="P54" s="285"/>
      <c r="Q54" s="293"/>
      <c r="R54" s="293"/>
      <c r="S54" s="293"/>
      <c r="T54" s="293"/>
      <c r="U54" s="294"/>
      <c r="V54" s="9"/>
      <c r="W54" s="1032" t="s">
        <v>1878</v>
      </c>
      <c r="X54" s="1033"/>
      <c r="Y54" s="1034"/>
      <c r="Z54" s="274" t="s">
        <v>1879</v>
      </c>
      <c r="AA54" s="271">
        <v>157</v>
      </c>
    </row>
    <row r="55" spans="1:27" x14ac:dyDescent="0.2">
      <c r="A55" s="265" t="s">
        <v>1880</v>
      </c>
      <c r="B55" s="266"/>
      <c r="C55" s="266"/>
      <c r="D55" s="266"/>
      <c r="E55" s="266"/>
      <c r="F55" s="267"/>
      <c r="G55" s="287" t="s">
        <v>1881</v>
      </c>
      <c r="H55" s="287"/>
      <c r="I55" s="287"/>
      <c r="J55" s="287"/>
      <c r="K55" s="287"/>
      <c r="L55" s="287"/>
      <c r="M55" s="287"/>
      <c r="N55" s="287"/>
      <c r="O55" s="287"/>
      <c r="P55" s="287"/>
      <c r="Q55" s="295"/>
      <c r="R55" s="295"/>
      <c r="S55" s="295"/>
      <c r="T55" s="295"/>
      <c r="U55" s="296"/>
      <c r="V55" s="9"/>
      <c r="W55" s="1032" t="s">
        <v>62</v>
      </c>
      <c r="X55" s="1033"/>
      <c r="Y55" s="1034"/>
      <c r="Z55" s="274" t="s">
        <v>1882</v>
      </c>
      <c r="AA55" s="271">
        <v>158</v>
      </c>
    </row>
    <row r="56" spans="1:27" x14ac:dyDescent="0.2">
      <c r="A56" s="272" t="s">
        <v>1883</v>
      </c>
      <c r="B56" s="12"/>
      <c r="C56" s="12"/>
      <c r="D56" s="12"/>
      <c r="E56" s="12"/>
      <c r="F56" s="273"/>
      <c r="G56" s="285" t="s">
        <v>1884</v>
      </c>
      <c r="H56" s="285"/>
      <c r="I56" s="285"/>
      <c r="J56" s="285"/>
      <c r="K56" s="285"/>
      <c r="L56" s="285"/>
      <c r="M56" s="285"/>
      <c r="N56" s="285"/>
      <c r="O56" s="285"/>
      <c r="P56" s="285"/>
      <c r="Q56" s="293"/>
      <c r="R56" s="293"/>
      <c r="S56" s="293"/>
      <c r="T56" s="293"/>
      <c r="U56" s="294"/>
      <c r="V56" s="9"/>
      <c r="W56" s="1032" t="s">
        <v>667</v>
      </c>
      <c r="X56" s="1033"/>
      <c r="Y56" s="1034"/>
      <c r="Z56" s="274" t="s">
        <v>1885</v>
      </c>
      <c r="AA56" s="271">
        <v>159</v>
      </c>
    </row>
    <row r="57" spans="1:27" x14ac:dyDescent="0.2">
      <c r="A57" s="275" t="s">
        <v>1886</v>
      </c>
      <c r="B57" s="276"/>
      <c r="C57" s="276"/>
      <c r="D57" s="276"/>
      <c r="E57" s="276"/>
      <c r="F57" s="277"/>
      <c r="G57" s="297" t="s">
        <v>1887</v>
      </c>
      <c r="H57" s="297"/>
      <c r="I57" s="297"/>
      <c r="J57" s="297"/>
      <c r="K57" s="297"/>
      <c r="L57" s="297"/>
      <c r="M57" s="297"/>
      <c r="N57" s="297"/>
      <c r="O57" s="297"/>
      <c r="P57" s="297"/>
      <c r="Q57" s="298"/>
      <c r="R57" s="298"/>
      <c r="S57" s="298"/>
      <c r="T57" s="298"/>
      <c r="U57" s="299"/>
      <c r="V57" s="9"/>
      <c r="W57" s="1032" t="s">
        <v>671</v>
      </c>
      <c r="X57" s="1033"/>
      <c r="Y57" s="1034"/>
      <c r="Z57" s="274" t="s">
        <v>1888</v>
      </c>
      <c r="AA57" s="271">
        <v>160</v>
      </c>
    </row>
    <row r="58" spans="1:27" x14ac:dyDescent="0.2">
      <c r="A58" s="300"/>
      <c r="B58" s="301"/>
      <c r="C58" s="302"/>
      <c r="D58" s="302"/>
      <c r="E58" s="302"/>
      <c r="F58" s="302"/>
      <c r="G58" s="302"/>
      <c r="H58" s="302"/>
      <c r="I58" s="302"/>
      <c r="J58" s="302"/>
      <c r="K58" s="302"/>
      <c r="L58" s="302"/>
      <c r="M58" s="302"/>
      <c r="N58" s="302"/>
      <c r="O58" s="302"/>
      <c r="P58" s="302"/>
      <c r="Q58" s="302"/>
      <c r="R58" s="302"/>
      <c r="S58" s="302"/>
      <c r="T58" s="302"/>
      <c r="U58" s="302"/>
      <c r="V58" s="9"/>
      <c r="W58" s="1032" t="s">
        <v>675</v>
      </c>
      <c r="X58" s="1033"/>
      <c r="Y58" s="1034"/>
      <c r="Z58" s="274" t="s">
        <v>1889</v>
      </c>
      <c r="AA58" s="271">
        <v>161</v>
      </c>
    </row>
    <row r="59" spans="1:27" x14ac:dyDescent="0.2">
      <c r="A59" s="303" t="s">
        <v>1890</v>
      </c>
      <c r="B59" s="304"/>
      <c r="C59" s="305"/>
      <c r="D59" s="306"/>
      <c r="E59" s="306"/>
      <c r="F59" s="306"/>
      <c r="G59" s="306"/>
      <c r="H59" s="306"/>
      <c r="I59" s="306"/>
      <c r="J59" s="306"/>
      <c r="K59" s="306"/>
      <c r="L59" s="306"/>
      <c r="M59" s="306"/>
      <c r="N59" s="306"/>
      <c r="O59" s="306"/>
      <c r="P59" s="306"/>
      <c r="Q59" s="306"/>
      <c r="R59" s="306"/>
      <c r="S59" s="306"/>
      <c r="T59" s="306"/>
      <c r="U59" s="307"/>
      <c r="V59" s="9"/>
      <c r="W59" s="1032" t="s">
        <v>679</v>
      </c>
      <c r="X59" s="1033"/>
      <c r="Y59" s="1034"/>
      <c r="Z59" s="274" t="s">
        <v>1891</v>
      </c>
      <c r="AA59" s="271">
        <v>162</v>
      </c>
    </row>
    <row r="60" spans="1:27" x14ac:dyDescent="0.2">
      <c r="A60" s="305"/>
      <c r="B60" s="306"/>
      <c r="C60" s="306"/>
      <c r="D60" s="306"/>
      <c r="E60" s="306"/>
      <c r="F60" s="306"/>
      <c r="G60" s="306"/>
      <c r="H60" s="306"/>
      <c r="I60" s="306"/>
      <c r="J60" s="306"/>
      <c r="K60" s="306"/>
      <c r="L60" s="306"/>
      <c r="M60" s="306"/>
      <c r="N60" s="306"/>
      <c r="O60" s="306"/>
      <c r="P60" s="306"/>
      <c r="Q60" s="306"/>
      <c r="R60" s="306"/>
      <c r="S60" s="306"/>
      <c r="T60" s="306"/>
      <c r="U60" s="307"/>
      <c r="V60" s="9"/>
      <c r="W60" s="1032" t="s">
        <v>687</v>
      </c>
      <c r="X60" s="1033"/>
      <c r="Y60" s="1034"/>
      <c r="Z60" s="274" t="s">
        <v>1892</v>
      </c>
      <c r="AA60" s="271">
        <v>164</v>
      </c>
    </row>
    <row r="61" spans="1:27" x14ac:dyDescent="0.2">
      <c r="A61" s="305"/>
      <c r="B61" s="306"/>
      <c r="C61" s="306"/>
      <c r="D61" s="306"/>
      <c r="E61" s="306"/>
      <c r="F61" s="306"/>
      <c r="G61" s="306"/>
      <c r="H61" s="306"/>
      <c r="I61" s="306"/>
      <c r="J61" s="306"/>
      <c r="K61" s="306"/>
      <c r="L61" s="306"/>
      <c r="M61" s="306"/>
      <c r="N61" s="306"/>
      <c r="O61" s="306"/>
      <c r="P61" s="306"/>
      <c r="Q61" s="306"/>
      <c r="R61" s="306"/>
      <c r="S61" s="306"/>
      <c r="T61" s="306"/>
      <c r="U61" s="307"/>
      <c r="V61" s="9"/>
      <c r="W61" s="1032" t="s">
        <v>683</v>
      </c>
      <c r="X61" s="1033"/>
      <c r="Y61" s="1034"/>
      <c r="Z61" s="274" t="s">
        <v>1893</v>
      </c>
      <c r="AA61" s="271">
        <v>163</v>
      </c>
    </row>
    <row r="62" spans="1:27" x14ac:dyDescent="0.2">
      <c r="A62" s="305"/>
      <c r="B62" s="306"/>
      <c r="C62" s="306"/>
      <c r="D62" s="306"/>
      <c r="E62" s="306"/>
      <c r="F62" s="306"/>
      <c r="G62" s="306"/>
      <c r="H62" s="306"/>
      <c r="I62" s="306"/>
      <c r="J62" s="306"/>
      <c r="K62" s="306"/>
      <c r="L62" s="306"/>
      <c r="M62" s="306"/>
      <c r="N62" s="306"/>
      <c r="O62" s="306"/>
      <c r="P62" s="306"/>
      <c r="Q62" s="306"/>
      <c r="R62" s="306"/>
      <c r="S62" s="306"/>
      <c r="T62" s="306"/>
      <c r="U62" s="307"/>
      <c r="V62" s="308"/>
      <c r="W62" s="1032" t="s">
        <v>1894</v>
      </c>
      <c r="X62" s="1033"/>
      <c r="Y62" s="1034"/>
      <c r="Z62" s="274" t="s">
        <v>1895</v>
      </c>
      <c r="AA62" s="271" t="s">
        <v>22</v>
      </c>
    </row>
    <row r="63" spans="1:27" x14ac:dyDescent="0.2">
      <c r="A63" s="305"/>
      <c r="B63" s="306"/>
      <c r="C63" s="306"/>
      <c r="D63" s="306"/>
      <c r="E63" s="306"/>
      <c r="F63" s="306"/>
      <c r="G63" s="306"/>
      <c r="H63" s="306"/>
      <c r="I63" s="306"/>
      <c r="J63" s="306"/>
      <c r="K63" s="306"/>
      <c r="L63" s="306"/>
      <c r="M63" s="306"/>
      <c r="N63" s="306"/>
      <c r="O63" s="306"/>
      <c r="P63" s="306"/>
      <c r="Q63" s="306"/>
      <c r="R63" s="306"/>
      <c r="S63" s="306"/>
      <c r="T63" s="306"/>
      <c r="U63" s="307"/>
      <c r="V63" s="309"/>
      <c r="W63" s="1032" t="s">
        <v>691</v>
      </c>
      <c r="X63" s="1033"/>
      <c r="Y63" s="1034"/>
      <c r="Z63" s="274" t="s">
        <v>1896</v>
      </c>
      <c r="AA63" s="271">
        <v>165</v>
      </c>
    </row>
    <row r="64" spans="1:27" x14ac:dyDescent="0.2">
      <c r="A64" s="305"/>
      <c r="B64" s="306"/>
      <c r="C64" s="306"/>
      <c r="D64" s="306"/>
      <c r="E64" s="306"/>
      <c r="F64" s="306"/>
      <c r="G64" s="306"/>
      <c r="H64" s="306"/>
      <c r="I64" s="306"/>
      <c r="J64" s="306"/>
      <c r="K64" s="306"/>
      <c r="L64" s="306"/>
      <c r="M64" s="306"/>
      <c r="N64" s="306"/>
      <c r="O64" s="306"/>
      <c r="P64" s="306"/>
      <c r="Q64" s="306"/>
      <c r="R64" s="306"/>
      <c r="S64" s="306"/>
      <c r="T64" s="306"/>
      <c r="U64" s="307"/>
      <c r="V64" s="309"/>
      <c r="W64" s="1032" t="s">
        <v>695</v>
      </c>
      <c r="X64" s="1033"/>
      <c r="Y64" s="1034"/>
      <c r="Z64" s="274" t="s">
        <v>1897</v>
      </c>
      <c r="AA64" s="271">
        <v>166</v>
      </c>
    </row>
    <row r="65" spans="1:27" x14ac:dyDescent="0.2">
      <c r="A65" s="305"/>
      <c r="B65" s="306"/>
      <c r="C65" s="306"/>
      <c r="D65" s="306"/>
      <c r="E65" s="306"/>
      <c r="F65" s="306"/>
      <c r="G65" s="306"/>
      <c r="H65" s="306"/>
      <c r="I65" s="306"/>
      <c r="J65" s="306"/>
      <c r="K65" s="306"/>
      <c r="L65" s="306"/>
      <c r="M65" s="306"/>
      <c r="N65" s="306"/>
      <c r="O65" s="306"/>
      <c r="P65" s="306"/>
      <c r="Q65" s="306"/>
      <c r="R65" s="306"/>
      <c r="S65" s="306"/>
      <c r="T65" s="306"/>
      <c r="U65" s="307"/>
      <c r="V65" s="309"/>
      <c r="W65" s="1032" t="s">
        <v>699</v>
      </c>
      <c r="X65" s="1033"/>
      <c r="Y65" s="1034"/>
      <c r="Z65" s="274" t="s">
        <v>1898</v>
      </c>
      <c r="AA65" s="271">
        <v>167</v>
      </c>
    </row>
    <row r="66" spans="1:27" x14ac:dyDescent="0.2">
      <c r="A66" s="305"/>
      <c r="B66" s="306"/>
      <c r="C66" s="306"/>
      <c r="D66" s="306"/>
      <c r="E66" s="306"/>
      <c r="F66" s="306"/>
      <c r="G66" s="306"/>
      <c r="H66" s="306"/>
      <c r="I66" s="306"/>
      <c r="J66" s="306"/>
      <c r="K66" s="306"/>
      <c r="L66" s="306"/>
      <c r="M66" s="306"/>
      <c r="N66" s="306"/>
      <c r="O66" s="306"/>
      <c r="P66" s="306"/>
      <c r="Q66" s="306"/>
      <c r="R66" s="1068" t="s">
        <v>99</v>
      </c>
      <c r="S66" s="1069"/>
      <c r="T66" s="1072" t="s">
        <v>1899</v>
      </c>
      <c r="U66" s="1073"/>
      <c r="V66" s="309"/>
      <c r="W66" s="1032" t="s">
        <v>702</v>
      </c>
      <c r="X66" s="1033"/>
      <c r="Y66" s="1034"/>
      <c r="Z66" s="274" t="s">
        <v>1900</v>
      </c>
      <c r="AA66" s="271">
        <v>168</v>
      </c>
    </row>
    <row r="67" spans="1:27" x14ac:dyDescent="0.2">
      <c r="A67" s="305"/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6"/>
      <c r="P67" s="306"/>
      <c r="Q67" s="306"/>
      <c r="R67" s="1070"/>
      <c r="S67" s="1071"/>
      <c r="T67" s="1074"/>
      <c r="U67" s="1075"/>
      <c r="V67" s="309"/>
      <c r="W67" s="1032" t="s">
        <v>536</v>
      </c>
      <c r="X67" s="1033"/>
      <c r="Y67" s="1034"/>
      <c r="Z67" s="274" t="s">
        <v>1901</v>
      </c>
      <c r="AA67" s="271" t="s">
        <v>22</v>
      </c>
    </row>
  </sheetData>
  <mergeCells count="74">
    <mergeCell ref="W64:Y64"/>
    <mergeCell ref="W65:Y65"/>
    <mergeCell ref="R66:S67"/>
    <mergeCell ref="T66:U67"/>
    <mergeCell ref="W66:Y66"/>
    <mergeCell ref="W67:Y67"/>
    <mergeCell ref="W59:Y59"/>
    <mergeCell ref="W60:Y60"/>
    <mergeCell ref="W61:Y61"/>
    <mergeCell ref="W62:Y62"/>
    <mergeCell ref="W63:Y63"/>
    <mergeCell ref="W54:Y54"/>
    <mergeCell ref="W55:Y55"/>
    <mergeCell ref="W56:Y56"/>
    <mergeCell ref="W57:Y57"/>
    <mergeCell ref="W58:Y58"/>
    <mergeCell ref="W49:Y49"/>
    <mergeCell ref="W50:Y50"/>
    <mergeCell ref="W51:Y51"/>
    <mergeCell ref="W52:Y52"/>
    <mergeCell ref="W53:Y53"/>
    <mergeCell ref="W44:Y44"/>
    <mergeCell ref="W45:Y45"/>
    <mergeCell ref="W46:Y46"/>
    <mergeCell ref="W47:Y47"/>
    <mergeCell ref="W48:Y48"/>
    <mergeCell ref="G40:U40"/>
    <mergeCell ref="W40:Y40"/>
    <mergeCell ref="W41:Y41"/>
    <mergeCell ref="W42:Y42"/>
    <mergeCell ref="G43:U43"/>
    <mergeCell ref="W43:Y43"/>
    <mergeCell ref="G36:U36"/>
    <mergeCell ref="W36:Y36"/>
    <mergeCell ref="W37:Y37"/>
    <mergeCell ref="W38:Y38"/>
    <mergeCell ref="G39:U39"/>
    <mergeCell ref="W39:Y39"/>
    <mergeCell ref="G29:U29"/>
    <mergeCell ref="W29:Y29"/>
    <mergeCell ref="G30:U30"/>
    <mergeCell ref="W30:Y30"/>
    <mergeCell ref="G31:U31"/>
    <mergeCell ref="W31:Y35"/>
    <mergeCell ref="G32:U32"/>
    <mergeCell ref="G33:U33"/>
    <mergeCell ref="G34:U34"/>
    <mergeCell ref="G25:U25"/>
    <mergeCell ref="W25:Y25"/>
    <mergeCell ref="W26:Y26"/>
    <mergeCell ref="W27:Y27"/>
    <mergeCell ref="W28:Y28"/>
    <mergeCell ref="W13:Y13"/>
    <mergeCell ref="W14:Y14"/>
    <mergeCell ref="W15:Y24"/>
    <mergeCell ref="G19:U19"/>
    <mergeCell ref="G20:U20"/>
    <mergeCell ref="G22:U22"/>
    <mergeCell ref="W10:Y10"/>
    <mergeCell ref="A11:F11"/>
    <mergeCell ref="G11:U11"/>
    <mergeCell ref="W11:Y11"/>
    <mergeCell ref="G12:U12"/>
    <mergeCell ref="W12:Y12"/>
    <mergeCell ref="W5:Y5"/>
    <mergeCell ref="W6:Y6"/>
    <mergeCell ref="W7:Y7"/>
    <mergeCell ref="W8:Y8"/>
    <mergeCell ref="W9:Y9"/>
    <mergeCell ref="A1:F1"/>
    <mergeCell ref="W1:Y1"/>
    <mergeCell ref="W2:Y2"/>
    <mergeCell ref="W3:Y3"/>
    <mergeCell ref="W4:Y4"/>
  </mergeCells>
  <phoneticPr fontId="2"/>
  <pageMargins left="0.7" right="0.7" top="0.75" bottom="0.75" header="0.3" footer="0.3"/>
  <pageSetup paperSize="9" orientation="portrait" horizontalDpi="360" verticalDpi="360" r:id="rId1"/>
  <ignoredErrors>
    <ignoredError sqref="AA2:AC66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"/>
  <sheetViews>
    <sheetView workbookViewId="0"/>
  </sheetViews>
  <sheetFormatPr defaultRowHeight="13.2" x14ac:dyDescent="0.2"/>
  <cols>
    <col min="4" max="4" width="5.33203125" customWidth="1"/>
  </cols>
  <sheetData/>
  <phoneticPr fontId="13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24</vt:i4>
      </vt:variant>
    </vt:vector>
  </HeadingPairs>
  <TitlesOfParts>
    <vt:vector size="35" baseType="lpstr">
      <vt:lpstr>公式記録用ﾁｪｯｸｼｰﾄ</vt:lpstr>
      <vt:lpstr>公式記録用ﾁｪｯｸｼｰﾄ (記入例)</vt:lpstr>
      <vt:lpstr>ＧＪ用ショット集計表</vt:lpstr>
      <vt:lpstr>ＧＪ用ショット集計表 (記入例)</vt:lpstr>
      <vt:lpstr>GameSheet</vt:lpstr>
      <vt:lpstr>GameSheet2枚目</vt:lpstr>
      <vt:lpstr>TeamA</vt:lpstr>
      <vt:lpstr>TeamB</vt:lpstr>
      <vt:lpstr>List</vt:lpstr>
      <vt:lpstr>参考（略語解説)</vt:lpstr>
      <vt:lpstr>追加・削除用</vt:lpstr>
      <vt:lpstr>CA</vt:lpstr>
      <vt:lpstr>Event</vt:lpstr>
      <vt:lpstr>GAME_No</vt:lpstr>
      <vt:lpstr>gka</vt:lpstr>
      <vt:lpstr>gkb</vt:lpstr>
      <vt:lpstr>GS</vt:lpstr>
      <vt:lpstr>MIN</vt:lpstr>
      <vt:lpstr>PENALTY</vt:lpstr>
      <vt:lpstr>PLACE</vt:lpstr>
      <vt:lpstr>POS</vt:lpstr>
      <vt:lpstr>GameSheet!Print_Area</vt:lpstr>
      <vt:lpstr>ＧＪ用ショット集計表!Print_Area</vt:lpstr>
      <vt:lpstr>'ＧＪ用ショット集計表 (記入例)'!Print_Area</vt:lpstr>
      <vt:lpstr>TeamA!Print_Area</vt:lpstr>
      <vt:lpstr>'公式記録用ﾁｪｯｸｼｰﾄ (記入例)'!Print_Area</vt:lpstr>
      <vt:lpstr>Ptime</vt:lpstr>
      <vt:lpstr>REF</vt:lpstr>
      <vt:lpstr>regA</vt:lpstr>
      <vt:lpstr>regB</vt:lpstr>
      <vt:lpstr>Start</vt:lpstr>
      <vt:lpstr>SV</vt:lpstr>
      <vt:lpstr>TEAMS</vt:lpstr>
      <vt:lpstr>Time</vt:lpstr>
      <vt:lpstr>timer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Steve Fukuda</dc:creator>
  <cp:keywords/>
  <dc:description/>
  <cp:lastModifiedBy>Shinji TANAKA</cp:lastModifiedBy>
  <cp:revision/>
  <dcterms:created xsi:type="dcterms:W3CDTF">2004-10-22T01:02:16Z</dcterms:created>
  <dcterms:modified xsi:type="dcterms:W3CDTF">2026-09-06T06:53:12Z</dcterms:modified>
  <cp:category/>
  <cp:contentStatus/>
</cp:coreProperties>
</file>